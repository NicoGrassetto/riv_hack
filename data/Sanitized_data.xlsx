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fn6600\AppData\Local\Microsoft\Windows\INetCache\Content.Outlook\7IKWLR50\"/>
    </mc:Choice>
  </mc:AlternateContent>
  <xr:revisionPtr revIDLastSave="0" documentId="13_ncr:1_{E32FFD8D-DF26-461E-A62D-C2EC87EA0E32}" xr6:coauthVersionLast="47" xr6:coauthVersionMax="47" xr10:uidLastSave="{00000000-0000-0000-0000-000000000000}"/>
  <bookViews>
    <workbookView xWindow="-120" yWindow="-120" windowWidth="29040" windowHeight="17520" tabRatio="872" xr2:uid="{354C6239-8E16-437E-94C0-BC9A5C8058D1}"/>
  </bookViews>
  <sheets>
    <sheet name="Progress Features Q4" sheetId="83" r:id="rId1"/>
    <sheet name="VSTS_ValidationWS_1" sheetId="15" state="veryHidden" r:id="rId2"/>
  </sheets>
  <definedNames>
    <definedName name="_xlnm._FilterDatabase" localSheetId="0" hidden="1">'Progress Features Q4'!$A$1:$R$228</definedName>
    <definedName name="Abu">#REF!</definedName>
    <definedName name="Djini">#REF!</definedName>
    <definedName name="ESS">#REF!</definedName>
    <definedName name="Iago">#REF!</definedName>
    <definedName name="MK">#REF!</definedName>
    <definedName name="Peddler">#REF!</definedName>
    <definedName name="Rajah">#REF!</definedName>
    <definedName name="Scarab">#REF!</definedName>
    <definedName name="Unkbuut">#REF!</definedName>
    <definedName name="VSTS_1e78406c_b923_4793_bf42_e32044f04641_1" hidden="1">#REF!</definedName>
    <definedName name="VSTS_1e78406c_b923_4793_bf42_e32044f04641_2" hidden="1">#REF!</definedName>
    <definedName name="VSTS_1e78406c_b923_4793_bf42_e32044f04641_24" hidden="1">#REF!</definedName>
    <definedName name="VSTS_1e78406c_b923_4793_bf42_e32044f04641_25" hidden="1">#REF!</definedName>
    <definedName name="VSTS_1e78406c_b923_4793_bf42_e32044f04641_28073388" hidden="1">#REF!</definedName>
    <definedName name="VSTS_1e78406c_b923_4793_bf42_e32044f04641_80" hidden="1">#REF!</definedName>
    <definedName name="VSTS_1e78406c_b923_4793_bf42_e32044f04641_n105" hidden="1">#REF!</definedName>
    <definedName name="VSTS_1e78406c_b923_4793_bf42_e32044f04641_n3" hidden="1">#REF!</definedName>
    <definedName name="VSTS_1e78406c_b923_4793_bf42_e32044f04641_n7" hidden="1">#REF!</definedName>
    <definedName name="VSTS_a0ed79e3_2a81_480f_9b40_e82381c47b71_1" hidden="1">#REF!</definedName>
    <definedName name="VSTS_a0ed79e3_2a81_480f_9b40_e82381c47b71_2" hidden="1">#REF!</definedName>
    <definedName name="VSTS_a0ed79e3_2a81_480f_9b40_e82381c47b71_23102138" hidden="1">#REF!</definedName>
    <definedName name="VSTS_a0ed79e3_2a81_480f_9b40_e82381c47b71_24" hidden="1">#REF!</definedName>
    <definedName name="VSTS_a0ed79e3_2a81_480f_9b40_e82381c47b71_25" hidden="1">#REF!</definedName>
    <definedName name="VSTS_a0ed79e3_2a81_480f_9b40_e82381c47b71_28070547" hidden="1">#REF!</definedName>
    <definedName name="VSTS_a0ed79e3_2a81_480f_9b40_e82381c47b71_28070548" hidden="1">#REF!</definedName>
    <definedName name="VSTS_a0ed79e3_2a81_480f_9b40_e82381c47b71_n105" hidden="1">#REF!</definedName>
    <definedName name="VSTS_a0ed79e3_2a81_480f_9b40_e82381c47b71_n3" hidden="1">#REF!</definedName>
    <definedName name="VSTS_a0ed79e3_2a81_480f_9b40_e82381c47b71_n7" hidden="1">#REF!</definedName>
    <definedName name="VSTS_ab428fbb_bec1_4695_abb0_a3a5ca9af405_1" hidden="1">#REF!</definedName>
    <definedName name="VSTS_ab428fbb_bec1_4695_abb0_a3a5ca9af405_2" hidden="1">#REF!</definedName>
    <definedName name="VSTS_ab428fbb_bec1_4695_abb0_a3a5ca9af405_23102138" hidden="1">#REF!</definedName>
    <definedName name="VSTS_ab428fbb_bec1_4695_abb0_a3a5ca9af405_24" hidden="1">#REF!</definedName>
    <definedName name="VSTS_ab428fbb_bec1_4695_abb0_a3a5ca9af405_25" hidden="1">#REF!</definedName>
    <definedName name="VSTS_ab428fbb_bec1_4695_abb0_a3a5ca9af405_28070547" hidden="1">#REF!</definedName>
    <definedName name="VSTS_ab428fbb_bec1_4695_abb0_a3a5ca9af405_28070548" hidden="1">#REF!</definedName>
    <definedName name="VSTS_ab428fbb_bec1_4695_abb0_a3a5ca9af405_n105" hidden="1">#REF!</definedName>
    <definedName name="VSTS_ab428fbb_bec1_4695_abb0_a3a5ca9af405_n3" hidden="1">#REF!</definedName>
    <definedName name="VSTS_ab428fbb_bec1_4695_abb0_a3a5ca9af405_n7" hidden="1">#REF!</definedName>
    <definedName name="VSTS_d22e1ab4_3a41_4142_a48f_f3292f330a65_1" hidden="1">#REF!</definedName>
    <definedName name="VSTS_d22e1ab4_3a41_4142_a48f_f3292f330a65_2" hidden="1">#REF!</definedName>
    <definedName name="VSTS_d22e1ab4_3a41_4142_a48f_f3292f330a65_24" hidden="1">#REF!</definedName>
    <definedName name="VSTS_d22e1ab4_3a41_4142_a48f_f3292f330a65_25" hidden="1">#REF!</definedName>
    <definedName name="VSTS_d22e1ab4_3a41_4142_a48f_f3292f330a65_28073388" hidden="1">#REF!</definedName>
    <definedName name="VSTS_d22e1ab4_3a41_4142_a48f_f3292f330a65_80" hidden="1">#REF!</definedName>
    <definedName name="VSTS_d22e1ab4_3a41_4142_a48f_f3292f330a65_n105" hidden="1">#REF!</definedName>
    <definedName name="VSTS_d22e1ab4_3a41_4142_a48f_f3292f330a65_n3" hidden="1">#REF!</definedName>
    <definedName name="VSTS_d22e1ab4_3a41_4142_a48f_f3292f330a65_n7" hidden="1">#REF!</definedName>
    <definedName name="VSTS_fb738c23_5680_40f5_b1ae_1f5b1e3f81d5_1" hidden="1">#REF!</definedName>
    <definedName name="VSTS_fb738c23_5680_40f5_b1ae_1f5b1e3f81d5_2" hidden="1">#REF!</definedName>
    <definedName name="VSTS_fb738c23_5680_40f5_b1ae_1f5b1e3f81d5_24" hidden="1">#REF!</definedName>
    <definedName name="VSTS_fb738c23_5680_40f5_b1ae_1f5b1e3f81d5_25" hidden="1">#REF!</definedName>
    <definedName name="VSTS_fb738c23_5680_40f5_b1ae_1f5b1e3f81d5_80" hidden="1">#REF!</definedName>
    <definedName name="VSTS_fb738c23_5680_40f5_b1ae_1f5b1e3f81d5_n105" hidden="1">#REF!</definedName>
    <definedName name="VSTS_fb738c23_5680_40f5_b1ae_1f5b1e3f81d5_n3" hidden="1">#REF!</definedName>
    <definedName name="VSTS_ValidationRange_44837c3ae0d64d98b5685cc2782e2f48" hidden="1">VSTS_ValidationWS_1!$C$1</definedName>
    <definedName name="VSTS_ValidationRange_50d38a80341945439332f4f7c8a63f80" hidden="1">VSTS_ValidationWS_1!$D$1</definedName>
    <definedName name="VSTS_ValidationRange_9aa4fa1cabd94e2491fdd6b67b9b2be4" hidden="1">VSTS_ValidationWS_1!$A$1</definedName>
    <definedName name="VSTS_ValidationRange_bddd18b136e84cdcb76f41f2a13e0cdb" hidden="1">VSTS_ValidationWS_1!$B$1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8" i="83" l="1"/>
  <c r="K219" i="83"/>
  <c r="K220" i="83"/>
  <c r="K221" i="83"/>
  <c r="K222" i="83"/>
  <c r="K223" i="83"/>
  <c r="K224" i="83"/>
  <c r="K225" i="83"/>
  <c r="K226" i="83"/>
  <c r="K227" i="83"/>
  <c r="K228" i="83"/>
  <c r="K217" i="83"/>
  <c r="K210" i="83"/>
  <c r="K211" i="83"/>
  <c r="K213" i="83"/>
  <c r="K214" i="83"/>
  <c r="K215" i="83"/>
  <c r="K216" i="83"/>
  <c r="I210" i="83"/>
  <c r="I211" i="83"/>
  <c r="I212" i="83"/>
  <c r="I213" i="83"/>
  <c r="I214" i="83"/>
  <c r="I215" i="83"/>
  <c r="I216" i="83"/>
  <c r="K209" i="83" l="1"/>
  <c r="I209" i="83"/>
  <c r="K199" i="83"/>
  <c r="K200" i="83"/>
  <c r="K201" i="83"/>
  <c r="K202" i="83"/>
  <c r="K203" i="83"/>
  <c r="K204" i="83"/>
  <c r="K205" i="83"/>
  <c r="K206" i="83"/>
  <c r="K207" i="83"/>
  <c r="K208" i="83"/>
  <c r="I199" i="83"/>
  <c r="I200" i="83"/>
  <c r="I201" i="83"/>
  <c r="I202" i="83"/>
  <c r="I203" i="83"/>
  <c r="I204" i="83"/>
  <c r="I205" i="83"/>
  <c r="I206" i="83"/>
  <c r="I207" i="83"/>
  <c r="I208" i="83"/>
  <c r="I55" i="83" l="1"/>
  <c r="K5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I3" i="83"/>
  <c r="I4" i="83"/>
  <c r="I5" i="83"/>
  <c r="I6" i="83"/>
  <c r="I7" i="83"/>
  <c r="I8" i="83"/>
  <c r="I9" i="83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4" i="83"/>
  <c r="I35" i="83"/>
  <c r="I36" i="83"/>
  <c r="I37" i="83"/>
  <c r="I38" i="83"/>
  <c r="I39" i="83"/>
  <c r="I40" i="83"/>
  <c r="I41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6" i="83"/>
  <c r="I57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92" i="83"/>
  <c r="I93" i="83"/>
  <c r="I94" i="83"/>
  <c r="I95" i="83"/>
  <c r="I96" i="83"/>
  <c r="I97" i="83"/>
  <c r="I98" i="83"/>
  <c r="I99" i="83"/>
  <c r="I100" i="83"/>
  <c r="I101" i="83"/>
  <c r="I102" i="83"/>
  <c r="I103" i="83"/>
  <c r="I104" i="83"/>
  <c r="I105" i="83"/>
  <c r="I106" i="83"/>
  <c r="I107" i="83"/>
  <c r="I108" i="83"/>
  <c r="I109" i="83"/>
  <c r="I110" i="83"/>
  <c r="I111" i="83"/>
  <c r="I112" i="83"/>
  <c r="I113" i="83"/>
  <c r="I114" i="83"/>
  <c r="I115" i="83"/>
  <c r="I116" i="83"/>
  <c r="I117" i="83"/>
  <c r="I118" i="83"/>
  <c r="I119" i="83"/>
  <c r="I120" i="83"/>
  <c r="I121" i="83"/>
  <c r="I122" i="83"/>
  <c r="I123" i="83"/>
  <c r="I124" i="83"/>
  <c r="I125" i="83"/>
  <c r="I126" i="83"/>
  <c r="I127" i="83"/>
  <c r="I128" i="83"/>
  <c r="I129" i="83"/>
  <c r="I130" i="83"/>
  <c r="I131" i="83"/>
  <c r="I132" i="83"/>
  <c r="I133" i="83"/>
  <c r="I134" i="83"/>
  <c r="I135" i="83"/>
  <c r="I136" i="83"/>
  <c r="I137" i="83"/>
  <c r="I138" i="83"/>
  <c r="I139" i="83"/>
  <c r="I140" i="83"/>
  <c r="I141" i="83"/>
  <c r="I142" i="83"/>
  <c r="I143" i="83"/>
  <c r="I144" i="83"/>
  <c r="I145" i="83"/>
  <c r="I146" i="83"/>
  <c r="I147" i="83"/>
  <c r="I148" i="83"/>
  <c r="I149" i="83"/>
  <c r="I150" i="83"/>
  <c r="I151" i="83"/>
  <c r="I152" i="83"/>
  <c r="I153" i="83"/>
  <c r="I154" i="83"/>
  <c r="I155" i="83"/>
  <c r="I156" i="83"/>
  <c r="I157" i="83"/>
  <c r="I158" i="83"/>
  <c r="I159" i="83"/>
  <c r="I160" i="83"/>
  <c r="I161" i="83"/>
  <c r="I162" i="83"/>
  <c r="I163" i="83"/>
  <c r="I164" i="83"/>
  <c r="I165" i="83"/>
  <c r="I166" i="83"/>
  <c r="I167" i="83"/>
  <c r="I168" i="83"/>
  <c r="I169" i="83"/>
  <c r="I170" i="83"/>
  <c r="I171" i="83"/>
  <c r="I172" i="83"/>
  <c r="I173" i="83"/>
  <c r="I174" i="83"/>
  <c r="I175" i="83"/>
  <c r="I176" i="83"/>
  <c r="I177" i="83"/>
  <c r="I178" i="83"/>
  <c r="I179" i="83"/>
  <c r="I180" i="83"/>
  <c r="I181" i="83"/>
  <c r="I182" i="83"/>
  <c r="I183" i="83"/>
  <c r="I184" i="83"/>
  <c r="I185" i="83"/>
  <c r="I186" i="83"/>
  <c r="I187" i="83"/>
  <c r="I188" i="83"/>
  <c r="I189" i="83"/>
  <c r="I190" i="83"/>
  <c r="I191" i="83"/>
  <c r="I192" i="83"/>
  <c r="I193" i="83"/>
  <c r="I194" i="83"/>
  <c r="I195" i="83"/>
  <c r="I196" i="83"/>
  <c r="I197" i="83"/>
  <c r="I198" i="83"/>
  <c r="I2" i="83"/>
  <c r="K3" i="83"/>
  <c r="K4" i="83"/>
  <c r="K5" i="83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1" i="83"/>
  <c r="K42" i="83"/>
  <c r="K43" i="83"/>
  <c r="K44" i="83"/>
  <c r="K45" i="83"/>
  <c r="K46" i="83"/>
  <c r="K47" i="83"/>
  <c r="K48" i="83"/>
  <c r="K49" i="83"/>
  <c r="K50" i="83"/>
  <c r="K51" i="83"/>
  <c r="K52" i="83"/>
  <c r="K53" i="83"/>
  <c r="K54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6" i="83"/>
  <c r="K87" i="83"/>
  <c r="K88" i="83"/>
  <c r="K89" i="83"/>
  <c r="K90" i="83"/>
  <c r="K91" i="83"/>
  <c r="K92" i="83"/>
  <c r="K93" i="83"/>
  <c r="K94" i="83"/>
  <c r="K95" i="83"/>
  <c r="K96" i="83"/>
  <c r="K97" i="83"/>
  <c r="K98" i="83"/>
  <c r="K99" i="83"/>
  <c r="K100" i="83"/>
  <c r="K101" i="83"/>
  <c r="K102" i="83"/>
  <c r="K103" i="83"/>
  <c r="K104" i="83"/>
  <c r="K105" i="83"/>
  <c r="K106" i="83"/>
  <c r="K107" i="83"/>
  <c r="K108" i="83"/>
  <c r="K109" i="83"/>
  <c r="K110" i="83"/>
  <c r="K111" i="83"/>
  <c r="K112" i="83"/>
  <c r="K113" i="83"/>
  <c r="K114" i="83"/>
  <c r="K115" i="83"/>
  <c r="K116" i="83"/>
  <c r="K118" i="83"/>
  <c r="K119" i="83"/>
  <c r="K120" i="83"/>
  <c r="K121" i="83"/>
  <c r="K122" i="83"/>
  <c r="K123" i="83"/>
  <c r="K124" i="83"/>
  <c r="K125" i="83"/>
  <c r="K126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39" i="83"/>
  <c r="K140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2" i="83"/>
  <c r="K173" i="83"/>
  <c r="K175" i="83"/>
  <c r="K176" i="83"/>
  <c r="K177" i="83"/>
  <c r="K180" i="83"/>
  <c r="K181" i="83"/>
  <c r="K182" i="83"/>
  <c r="K183" i="83"/>
  <c r="K184" i="83"/>
  <c r="K2" i="83"/>
</calcChain>
</file>

<file path=xl/sharedStrings.xml><?xml version="1.0" encoding="utf-8"?>
<sst xmlns="http://schemas.openxmlformats.org/spreadsheetml/2006/main" count="1469" uniqueCount="304">
  <si>
    <t>Team Name</t>
  </si>
  <si>
    <t>Priority</t>
  </si>
  <si>
    <t>Type</t>
  </si>
  <si>
    <t>Feature</t>
  </si>
  <si>
    <t>Epic owner</t>
  </si>
  <si>
    <t>Scope</t>
  </si>
  <si>
    <t>Initial status</t>
  </si>
  <si>
    <t>Planned delivery sprint</t>
  </si>
  <si>
    <t>Planned due date</t>
  </si>
  <si>
    <t>Comments</t>
  </si>
  <si>
    <t>Current completion</t>
  </si>
  <si>
    <t>S1</t>
  </si>
  <si>
    <t>S2</t>
  </si>
  <si>
    <t>S3</t>
  </si>
  <si>
    <t>S4</t>
  </si>
  <si>
    <t>S5</t>
  </si>
  <si>
    <t>IP (forecast)</t>
  </si>
  <si>
    <t>Blue</t>
  </si>
  <si>
    <t>Story</t>
  </si>
  <si>
    <t>Feature-074</t>
  </si>
  <si>
    <t>Initial</t>
  </si>
  <si>
    <t>New</t>
  </si>
  <si>
    <t>Feature-198</t>
  </si>
  <si>
    <t>Feature-199</t>
  </si>
  <si>
    <t>Feature-200</t>
  </si>
  <si>
    <t>UNC</t>
  </si>
  <si>
    <t>Feature-136</t>
  </si>
  <si>
    <t>Feature-137</t>
  </si>
  <si>
    <t>In Progress</t>
  </si>
  <si>
    <t>Orange</t>
  </si>
  <si>
    <t>Feature-173</t>
  </si>
  <si>
    <t>Feature-174</t>
  </si>
  <si>
    <t>Feature-059</t>
  </si>
  <si>
    <t>Feature-058</t>
  </si>
  <si>
    <t>Feature-171</t>
  </si>
  <si>
    <t>Yellow</t>
  </si>
  <si>
    <t>Feature-024</t>
  </si>
  <si>
    <t>Ready</t>
  </si>
  <si>
    <t>Feature-025</t>
  </si>
  <si>
    <t>Feature-026</t>
  </si>
  <si>
    <t>Green</t>
  </si>
  <si>
    <t>Feature-036</t>
  </si>
  <si>
    <t>Turquoise</t>
  </si>
  <si>
    <t>Feature-010</t>
  </si>
  <si>
    <t>Feature-066</t>
  </si>
  <si>
    <t>Lavender</t>
  </si>
  <si>
    <t>Feature-037</t>
  </si>
  <si>
    <t>Feature-038</t>
  </si>
  <si>
    <t>Feature-039</t>
  </si>
  <si>
    <t>Feature-104</t>
  </si>
  <si>
    <t>Feature-105</t>
  </si>
  <si>
    <t>Feature-194</t>
  </si>
  <si>
    <t>Feature-195</t>
  </si>
  <si>
    <t>Feature-196</t>
  </si>
  <si>
    <t>Feature-142</t>
  </si>
  <si>
    <t>TTM</t>
  </si>
  <si>
    <t>Feature-143</t>
  </si>
  <si>
    <t>Feature-147</t>
  </si>
  <si>
    <t>Feature-123</t>
  </si>
  <si>
    <t>Refine</t>
  </si>
  <si>
    <t>Feature-124</t>
  </si>
  <si>
    <t>Feature-113</t>
  </si>
  <si>
    <t>Feature-114</t>
  </si>
  <si>
    <t>Feature-115</t>
  </si>
  <si>
    <t>Feature-069</t>
  </si>
  <si>
    <t>Feature-110</t>
  </si>
  <si>
    <t>Feature-111</t>
  </si>
  <si>
    <t>Feature-162</t>
  </si>
  <si>
    <t>Feature-164</t>
  </si>
  <si>
    <t>Feature-163</t>
  </si>
  <si>
    <t>IP</t>
  </si>
  <si>
    <t>Feature-093</t>
  </si>
  <si>
    <t>Feature-175</t>
  </si>
  <si>
    <t>Feature-057</t>
  </si>
  <si>
    <t>Feature-125</t>
  </si>
  <si>
    <t>S6</t>
  </si>
  <si>
    <t>Amber</t>
  </si>
  <si>
    <t>Feature-117</t>
  </si>
  <si>
    <t>Feature-151</t>
  </si>
  <si>
    <t>Feature-020</t>
  </si>
  <si>
    <t>Feature-035</t>
  </si>
  <si>
    <t>Feature-140</t>
  </si>
  <si>
    <t>Feature-080</t>
  </si>
  <si>
    <t>Ready for QA</t>
  </si>
  <si>
    <t>Feature-102</t>
  </si>
  <si>
    <t>Feature-107</t>
  </si>
  <si>
    <t>Feature-108</t>
  </si>
  <si>
    <t>Feature-129</t>
  </si>
  <si>
    <t>Feature-131</t>
  </si>
  <si>
    <t>Feature-160</t>
  </si>
  <si>
    <t>Feature-005</t>
  </si>
  <si>
    <t>Feature-006</t>
  </si>
  <si>
    <t>Feature-083</t>
  </si>
  <si>
    <t>Feature-138</t>
  </si>
  <si>
    <t>Feature-100</t>
  </si>
  <si>
    <t>Feature-139</t>
  </si>
  <si>
    <t>Feature-019</t>
  </si>
  <si>
    <t>Feature-047</t>
  </si>
  <si>
    <t>Feature-048</t>
  </si>
  <si>
    <t>Feature-165</t>
  </si>
  <si>
    <t>Feature-166</t>
  </si>
  <si>
    <t>Feature-068</t>
  </si>
  <si>
    <t>Feature-084</t>
  </si>
  <si>
    <t>Feature-085</t>
  </si>
  <si>
    <t>Feature-086</t>
  </si>
  <si>
    <t>Feature-087</t>
  </si>
  <si>
    <t>Feature-090</t>
  </si>
  <si>
    <t>Feature-045</t>
  </si>
  <si>
    <t>Feature-046</t>
  </si>
  <si>
    <t>Feature-063</t>
  </si>
  <si>
    <t>Feature-064</t>
  </si>
  <si>
    <t>Feature-065</t>
  </si>
  <si>
    <t>Feature-062</t>
  </si>
  <si>
    <t>Feature-153</t>
  </si>
  <si>
    <t>Feature-191</t>
  </si>
  <si>
    <t>Feature-091</t>
  </si>
  <si>
    <t>Feature-049</t>
  </si>
  <si>
    <t>Feature-130</t>
  </si>
  <si>
    <t>Feature-001</t>
  </si>
  <si>
    <t>documented as is</t>
  </si>
  <si>
    <t>Feature-154</t>
  </si>
  <si>
    <t>Feature-155</t>
  </si>
  <si>
    <t>Feature-095</t>
  </si>
  <si>
    <t>Feature-099</t>
  </si>
  <si>
    <t>Feature-092</t>
  </si>
  <si>
    <t>Removed</t>
  </si>
  <si>
    <t>Backlog</t>
  </si>
  <si>
    <t>Feature-121</t>
  </si>
  <si>
    <t>Feature-122</t>
  </si>
  <si>
    <t>Feature-193</t>
  </si>
  <si>
    <t>Feature-002</t>
  </si>
  <si>
    <t>Feature-004</t>
  </si>
  <si>
    <t>Feature-044</t>
  </si>
  <si>
    <t>Feature-070</t>
  </si>
  <si>
    <t>Feature-071</t>
  </si>
  <si>
    <t>Feature-008</t>
  </si>
  <si>
    <t>Feature-097</t>
  </si>
  <si>
    <t>Feature-156</t>
  </si>
  <si>
    <t>nothing to do</t>
  </si>
  <si>
    <t>Feature-157</t>
  </si>
  <si>
    <t>Feature-012</t>
  </si>
  <si>
    <t>Feature-149</t>
  </si>
  <si>
    <t>Feature-150</t>
  </si>
  <si>
    <t>Emerald</t>
  </si>
  <si>
    <t>Feature-077</t>
  </si>
  <si>
    <t>Feature-051</t>
  </si>
  <si>
    <t>Feature-096</t>
  </si>
  <si>
    <t>Feature-148</t>
  </si>
  <si>
    <t>Feature-052</t>
  </si>
  <si>
    <t>Feature-081</t>
  </si>
  <si>
    <t>Feature-023</t>
  </si>
  <si>
    <t>Feature-014</t>
  </si>
  <si>
    <t>Azure</t>
  </si>
  <si>
    <t>Feature-170</t>
  </si>
  <si>
    <t>Feature-144</t>
  </si>
  <si>
    <t>Feature-145</t>
  </si>
  <si>
    <t>Feature-167</t>
  </si>
  <si>
    <t>Feature-168</t>
  </si>
  <si>
    <t>Feature-169</t>
  </si>
  <si>
    <t>Feature-082</t>
  </si>
  <si>
    <t>Feature-158</t>
  </si>
  <si>
    <t>Feature-159</t>
  </si>
  <si>
    <t>Feature-161</t>
  </si>
  <si>
    <t>Feature-152</t>
  </si>
  <si>
    <t>Feature-176</t>
  </si>
  <si>
    <t>Feature-177</t>
  </si>
  <si>
    <t>Feature-178</t>
  </si>
  <si>
    <t>Feature-179</t>
  </si>
  <si>
    <t>Feature-181</t>
  </si>
  <si>
    <t>Feature-182</t>
  </si>
  <si>
    <t>Feature-183</t>
  </si>
  <si>
    <t>Feature-184</t>
  </si>
  <si>
    <t>Feature-185</t>
  </si>
  <si>
    <t>Feature-186</t>
  </si>
  <si>
    <t>Feature-187</t>
  </si>
  <si>
    <t>Feature-188</t>
  </si>
  <si>
    <t>Feature-189</t>
  </si>
  <si>
    <t>Feature-201</t>
  </si>
  <si>
    <t>Feature-126</t>
  </si>
  <si>
    <t>Feature-207</t>
  </si>
  <si>
    <t>Feature-208</t>
  </si>
  <si>
    <t>Feature-141</t>
  </si>
  <si>
    <t>Feature-103</t>
  </si>
  <si>
    <t>Feature-197</t>
  </si>
  <si>
    <t>Feature-209</t>
  </si>
  <si>
    <t>Added</t>
  </si>
  <si>
    <t>Duplicate</t>
  </si>
  <si>
    <t>Feature-094</t>
  </si>
  <si>
    <t>Debt</t>
  </si>
  <si>
    <t>Feature-089</t>
  </si>
  <si>
    <t>Feature-088</t>
  </si>
  <si>
    <t>Feature-016</t>
  </si>
  <si>
    <t>Feature-015</t>
  </si>
  <si>
    <t>Feature-028</t>
  </si>
  <si>
    <t>Feature-202</t>
  </si>
  <si>
    <t>Feature-128</t>
  </si>
  <si>
    <t>Feature-116</t>
  </si>
  <si>
    <t>Feature-101</t>
  </si>
  <si>
    <t>Feature-056</t>
  </si>
  <si>
    <t>Feature-227</t>
  </si>
  <si>
    <t>Feature-206</t>
  </si>
  <si>
    <t>Feature-146</t>
  </si>
  <si>
    <t>Feature-109</t>
  </si>
  <si>
    <t>Feature-067</t>
  </si>
  <si>
    <t>Feature-021</t>
  </si>
  <si>
    <t>Feature-017</t>
  </si>
  <si>
    <t>Feature-007</t>
  </si>
  <si>
    <t>Feature-112</t>
  </si>
  <si>
    <t>Feature-027</t>
  </si>
  <si>
    <t>Feature-211</t>
  </si>
  <si>
    <t>Feature-210</t>
  </si>
  <si>
    <t>Feature-135</t>
  </si>
  <si>
    <t>Feature-078</t>
  </si>
  <si>
    <t>Feature-075</t>
  </si>
  <si>
    <t>Feature-073</t>
  </si>
  <si>
    <t>Feature-072</t>
  </si>
  <si>
    <t>Feature-043</t>
  </si>
  <si>
    <t>Idea</t>
  </si>
  <si>
    <t>Feature-042</t>
  </si>
  <si>
    <t>Feature-034</t>
  </si>
  <si>
    <t>Feature-033</t>
  </si>
  <si>
    <t>Feature-032</t>
  </si>
  <si>
    <t>Feature-011</t>
  </si>
  <si>
    <t>Feature-120</t>
  </si>
  <si>
    <t>Feature-098</t>
  </si>
  <si>
    <t>Feature-050</t>
  </si>
  <si>
    <t>Feature-040</t>
  </si>
  <si>
    <t>Feature-009</t>
  </si>
  <si>
    <t>Feature-217</t>
  </si>
  <si>
    <t>Feature-079</t>
  </si>
  <si>
    <t>Feature-018</t>
  </si>
  <si>
    <t>Feature-215</t>
  </si>
  <si>
    <t>Feature-134</t>
  </si>
  <si>
    <t>Blocked</t>
  </si>
  <si>
    <t>Feature-133</t>
  </si>
  <si>
    <t>Feature-060</t>
  </si>
  <si>
    <t>Feature-030</t>
  </si>
  <si>
    <t xml:space="preserve"> </t>
  </si>
  <si>
    <t>Feature-214</t>
  </si>
  <si>
    <t>Silver</t>
  </si>
  <si>
    <t>Feature-190</t>
  </si>
  <si>
    <t>Gold</t>
  </si>
  <si>
    <t>Feature-180</t>
  </si>
  <si>
    <t>Feature-055</t>
  </si>
  <si>
    <t>Feature-003</t>
  </si>
  <si>
    <t>Feature-127</t>
  </si>
  <si>
    <t>Feature-220</t>
  </si>
  <si>
    <t>Feature-219</t>
  </si>
  <si>
    <t>Feature-212</t>
  </si>
  <si>
    <t>Feature-204</t>
  </si>
  <si>
    <t>Feature-203</t>
  </si>
  <si>
    <t>Feature-119</t>
  </si>
  <si>
    <t>Feature-053</t>
  </si>
  <si>
    <t>Feature-041</t>
  </si>
  <si>
    <t>Feature-029</t>
  </si>
  <si>
    <t>Feature-022</t>
  </si>
  <si>
    <t>Feature-213</t>
  </si>
  <si>
    <t>Feature-222</t>
  </si>
  <si>
    <t>Feature-221</t>
  </si>
  <si>
    <t>Feature-205</t>
  </si>
  <si>
    <t>Feature-192</t>
  </si>
  <si>
    <t>Feature-132</t>
  </si>
  <si>
    <t>Maroon</t>
  </si>
  <si>
    <t>Feature-106</t>
  </si>
  <si>
    <t>Feature-076</t>
  </si>
  <si>
    <t>Feature-031</t>
  </si>
  <si>
    <t>Feature-226</t>
  </si>
  <si>
    <t>Feature-225</t>
  </si>
  <si>
    <t>Feature-224</t>
  </si>
  <si>
    <t>Feature-223</t>
  </si>
  <si>
    <t>Feature-218</t>
  </si>
  <si>
    <t>Feature-216</t>
  </si>
  <si>
    <t>Feature-172</t>
  </si>
  <si>
    <t>Feature-118</t>
  </si>
  <si>
    <t>Feature-061</t>
  </si>
  <si>
    <t>Feature-054</t>
  </si>
  <si>
    <t>Feature-013</t>
  </si>
  <si>
    <t>value doesn't matter</t>
  </si>
  <si>
    <t>Select User...</t>
  </si>
  <si>
    <t>readOnlyTestRange_@</t>
  </si>
  <si>
    <t>readOnlyTestRange_0</t>
  </si>
  <si>
    <t>readOnlyTestRange_dd/MM/yyyy HH:mm</t>
  </si>
  <si>
    <t>readOnlyTestRange_General</t>
  </si>
  <si>
    <t>Johan Van Hemelryk</t>
  </si>
  <si>
    <t>Kevin De Wolf</t>
  </si>
  <si>
    <t>Michiel Adams</t>
  </si>
  <si>
    <t>Persona 1</t>
  </si>
  <si>
    <t>Persona 2</t>
  </si>
  <si>
    <t>Persona 3</t>
  </si>
  <si>
    <t>Persona 4</t>
  </si>
  <si>
    <t>Persona 5</t>
  </si>
  <si>
    <t xml:space="preserve">Persona 4 </t>
  </si>
  <si>
    <t xml:space="preserve">Persona 5 </t>
  </si>
  <si>
    <t xml:space="preserve">Persona 6 </t>
  </si>
  <si>
    <t xml:space="preserve">Persona 7 </t>
  </si>
  <si>
    <t xml:space="preserve">Persona 8 </t>
  </si>
  <si>
    <t xml:space="preserve">Persona 9 </t>
  </si>
  <si>
    <t xml:space="preserve">Persona 3 </t>
  </si>
  <si>
    <t xml:space="preserve">Persona 10 </t>
  </si>
  <si>
    <t>Persona 11</t>
  </si>
  <si>
    <t xml:space="preserve">Ready </t>
  </si>
  <si>
    <t xml:space="preserve">New </t>
  </si>
  <si>
    <t xml:space="preserve">In evaluation </t>
  </si>
  <si>
    <t xml:space="preserve">As per team name in colmun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</si>
</sst>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1" fontId="0" fillId="0" borderId="0" xfId="0" applyNumberFormat="1"/>
    <xf numFmtId="49" fontId="0" fillId="0" borderId="0" xfId="0" applyNumberFormat="1"/>
    <xf numFmtId="22" fontId="0" fillId="0" borderId="0" xfId="0" applyNumberFormat="1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vertical="top"/>
    </xf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2" fillId="0" borderId="3" xfId="0" applyFont="1" applyBorder="1" applyAlignment="1">
      <alignment vertical="top"/>
    </xf>
    <xf numFmtId="0" fontId="0" fillId="0" borderId="4" xfId="0" applyBorder="1"/>
    <xf numFmtId="164" fontId="3" fillId="0" borderId="4" xfId="0" applyNumberFormat="1" applyFont="1" applyBorder="1"/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3" fillId="0" borderId="4" xfId="0" applyFont="1" applyBorder="1"/>
    <xf numFmtId="0" fontId="2" fillId="4" borderId="4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4" fillId="0" borderId="1" xfId="0" applyFont="1" applyBorder="1"/>
    <xf numFmtId="164" fontId="2" fillId="0" borderId="4" xfId="0" applyNumberFormat="1" applyFont="1" applyBorder="1" applyAlignment="1">
      <alignment horizontal="center" vertical="top" wrapText="1"/>
    </xf>
    <xf numFmtId="0" fontId="4" fillId="3" borderId="1" xfId="0" applyFont="1" applyFill="1" applyBorder="1"/>
    <xf numFmtId="0" fontId="3" fillId="3" borderId="3" xfId="0" applyFont="1" applyFill="1" applyBorder="1"/>
    <xf numFmtId="0" fontId="4" fillId="3" borderId="3" xfId="0" applyFont="1" applyFill="1" applyBorder="1"/>
    <xf numFmtId="0" fontId="2" fillId="4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vertical="top" wrapText="1"/>
    </xf>
    <xf numFmtId="0" fontId="4" fillId="0" borderId="0" xfId="0" applyFont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1">
    <dxf>
      <fill>
        <patternFill>
          <bgColor rgb="FFBDD7EE"/>
        </patternFill>
      </fill>
    </dxf>
  </dxfs>
  <tableStyles count="0" defaultTableStyle="TableStyleMedium2" defaultPivotStyle="PivotStyleLight16"/>
  <colors>
    <mruColors>
      <color rgb="FF2CA02C"/>
      <color rgb="FFC5E86C"/>
      <color rgb="FFFFD54F"/>
      <color rgb="FFFFA600"/>
      <color rgb="FFFF7C43"/>
      <color rgb="FFF95D6A"/>
      <color rgb="FFD45087"/>
      <color rgb="FFA05195"/>
      <color rgb="FF665191"/>
      <color rgb="FF2F4B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20FB-06FC-4E58-8ED4-E46A06750D60}">
  <dimension ref="A1:T228"/>
  <sheetViews>
    <sheetView tabSelected="1" zoomScale="80" zoomScaleNormal="80" workbookViewId="0">
      <pane ySplit="1" topLeftCell="A2" activePane="bottomLeft" state="frozen"/>
      <selection pane="bottomLeft" sqref="A1:XFD1"/>
    </sheetView>
  </sheetViews>
  <sheetFormatPr defaultColWidth="8.85546875" defaultRowHeight="15.75" x14ac:dyDescent="0.25"/>
  <cols>
    <col min="1" max="1" width="13.85546875" style="14" customWidth="1"/>
    <col min="2" max="2" width="8" style="5" customWidth="1"/>
    <col min="3" max="3" width="9.28515625" style="5" customWidth="1"/>
    <col min="4" max="4" width="16.7109375" style="14" customWidth="1"/>
    <col min="5" max="5" width="33.42578125" style="14" customWidth="1"/>
    <col min="6" max="6" width="8.85546875" style="14" customWidth="1"/>
    <col min="7" max="7" width="12.42578125" style="5" customWidth="1"/>
    <col min="8" max="8" width="12.42578125" style="15" customWidth="1"/>
    <col min="9" max="9" width="8.7109375" style="20" customWidth="1"/>
    <col min="10" max="10" width="22.28515625" style="15" customWidth="1"/>
    <col min="11" max="11" width="12.28515625" style="15" customWidth="1"/>
    <col min="12" max="16" width="7.5703125" style="14" bestFit="1" customWidth="1"/>
    <col min="17" max="17" width="12.7109375" style="14" customWidth="1"/>
    <col min="18" max="16384" width="8.85546875" style="14"/>
  </cols>
  <sheetData>
    <row r="1" spans="1:20" s="15" customFormat="1" ht="63" customHeight="1" x14ac:dyDescent="0.25">
      <c r="A1" s="7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7" t="s">
        <v>7</v>
      </c>
      <c r="I1" s="21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36" t="s">
        <v>15</v>
      </c>
      <c r="Q1" s="6" t="s">
        <v>16</v>
      </c>
    </row>
    <row r="2" spans="1:20" s="8" customFormat="1" ht="15" x14ac:dyDescent="0.25">
      <c r="A2" s="9" t="s">
        <v>17</v>
      </c>
      <c r="B2" s="9">
        <v>1</v>
      </c>
      <c r="C2" s="9" t="s">
        <v>18</v>
      </c>
      <c r="D2" s="9" t="s">
        <v>19</v>
      </c>
      <c r="E2" s="9" t="s">
        <v>286</v>
      </c>
      <c r="F2" s="9" t="s">
        <v>20</v>
      </c>
      <c r="G2" s="9" t="s">
        <v>21</v>
      </c>
      <c r="H2" s="9" t="s">
        <v>12</v>
      </c>
      <c r="I2" s="10">
        <f>IF(H2="S1",DATE(2025,10,14),IF(H2="S2",DATE(2025,10,28),IF(H2="S3",DATE(2025,11,12),IF(H2="S4",DATE(2025,11,25),IF(H2="S5",DATE(2025,12,9),IF(H2="S6",DATE(2025,12,24),IF(H2="S6",DATE(2025,12,24),IF(H2="IP",DATE(2025,12,24),IF(H2="UNC",DATE(2025,12,24),"")))))))))</f>
        <v>45958</v>
      </c>
      <c r="J2" s="9"/>
      <c r="K2" s="9">
        <f>MAX(L2:R2)</f>
        <v>100</v>
      </c>
      <c r="L2" s="12">
        <v>95</v>
      </c>
      <c r="M2" s="12">
        <v>95</v>
      </c>
      <c r="N2" s="12">
        <v>100</v>
      </c>
      <c r="O2" s="12">
        <v>100</v>
      </c>
      <c r="P2" s="33">
        <v>100</v>
      </c>
      <c r="Q2" s="32"/>
      <c r="R2" s="38"/>
      <c r="S2" s="38"/>
      <c r="T2" s="38"/>
    </row>
    <row r="3" spans="1:20" s="8" customFormat="1" ht="15" x14ac:dyDescent="0.25">
      <c r="A3" s="9" t="s">
        <v>17</v>
      </c>
      <c r="B3" s="9">
        <v>1</v>
      </c>
      <c r="C3" s="9" t="s">
        <v>18</v>
      </c>
      <c r="D3" s="9" t="s">
        <v>22</v>
      </c>
      <c r="E3" s="9" t="s">
        <v>286</v>
      </c>
      <c r="F3" s="9" t="s">
        <v>20</v>
      </c>
      <c r="G3" s="9" t="s">
        <v>21</v>
      </c>
      <c r="H3" s="9" t="s">
        <v>14</v>
      </c>
      <c r="I3" s="10">
        <f t="shared" ref="I3:I66" si="0">IF(H3="S1",DATE(2025,10,14),IF(H3="S2",DATE(2025,10,28),IF(H3="S3",DATE(2025,11,12),IF(H3="S4",DATE(2025,11,25),IF(H3="S5",DATE(2025,12,9),IF(H3="S6",DATE(2025,12,24),IF(H3="S6",DATE(2025,12,24),IF(H3="IP",DATE(2025,12,24),IF(H3="UNC",DATE(2025,12,24),"")))))))))</f>
        <v>45986</v>
      </c>
      <c r="J3" s="9"/>
      <c r="K3" s="9">
        <f t="shared" ref="K3:K66" si="1">MAX(L3:Q3)</f>
        <v>100</v>
      </c>
      <c r="L3" s="12"/>
      <c r="M3" s="12"/>
      <c r="N3" s="12"/>
      <c r="O3" s="12"/>
      <c r="P3" s="33">
        <v>100</v>
      </c>
      <c r="Q3" s="12"/>
      <c r="R3" s="38"/>
      <c r="S3" s="38"/>
      <c r="T3" s="38"/>
    </row>
    <row r="4" spans="1:20" s="8" customFormat="1" ht="15" x14ac:dyDescent="0.25">
      <c r="A4" s="9" t="s">
        <v>17</v>
      </c>
      <c r="B4" s="9">
        <v>1</v>
      </c>
      <c r="C4" s="9" t="s">
        <v>18</v>
      </c>
      <c r="D4" s="9" t="s">
        <v>23</v>
      </c>
      <c r="E4" s="9" t="s">
        <v>286</v>
      </c>
      <c r="F4" s="9" t="s">
        <v>20</v>
      </c>
      <c r="G4" s="9" t="s">
        <v>21</v>
      </c>
      <c r="H4" s="9" t="s">
        <v>15</v>
      </c>
      <c r="I4" s="10">
        <f t="shared" si="0"/>
        <v>46000</v>
      </c>
      <c r="J4" s="9"/>
      <c r="K4" s="9">
        <f t="shared" si="1"/>
        <v>100</v>
      </c>
      <c r="L4" s="12"/>
      <c r="M4" s="12"/>
      <c r="N4" s="12"/>
      <c r="O4" s="12"/>
      <c r="P4" s="33">
        <v>100</v>
      </c>
      <c r="Q4" s="12"/>
      <c r="R4" s="38"/>
      <c r="S4" s="38"/>
      <c r="T4" s="38"/>
    </row>
    <row r="5" spans="1:20" s="8" customFormat="1" ht="15" x14ac:dyDescent="0.25">
      <c r="A5" s="9" t="s">
        <v>17</v>
      </c>
      <c r="B5" s="9">
        <v>1</v>
      </c>
      <c r="C5" s="9" t="s">
        <v>18</v>
      </c>
      <c r="D5" s="9" t="s">
        <v>24</v>
      </c>
      <c r="E5" s="9" t="s">
        <v>286</v>
      </c>
      <c r="F5" s="9" t="s">
        <v>20</v>
      </c>
      <c r="G5" s="9" t="s">
        <v>21</v>
      </c>
      <c r="H5" s="9" t="s">
        <v>25</v>
      </c>
      <c r="I5" s="10">
        <f t="shared" si="0"/>
        <v>46015</v>
      </c>
      <c r="J5" s="9"/>
      <c r="K5" s="9">
        <f t="shared" si="1"/>
        <v>100</v>
      </c>
      <c r="L5" s="12"/>
      <c r="M5" s="12"/>
      <c r="N5" s="12"/>
      <c r="O5" s="12"/>
      <c r="P5" s="33">
        <v>100</v>
      </c>
      <c r="Q5" s="12"/>
      <c r="R5" s="38"/>
      <c r="S5" s="38"/>
      <c r="T5" s="38"/>
    </row>
    <row r="6" spans="1:20" s="8" customFormat="1" ht="15" x14ac:dyDescent="0.25">
      <c r="A6" s="9" t="s">
        <v>17</v>
      </c>
      <c r="B6" s="9">
        <v>1</v>
      </c>
      <c r="C6" s="9" t="s">
        <v>18</v>
      </c>
      <c r="D6" s="9" t="s">
        <v>26</v>
      </c>
      <c r="E6" s="9" t="s">
        <v>286</v>
      </c>
      <c r="F6" s="9" t="s">
        <v>20</v>
      </c>
      <c r="G6" s="9" t="s">
        <v>21</v>
      </c>
      <c r="H6" s="9" t="s">
        <v>25</v>
      </c>
      <c r="I6" s="10">
        <f t="shared" si="0"/>
        <v>46015</v>
      </c>
      <c r="J6" s="9"/>
      <c r="K6" s="9">
        <f t="shared" si="1"/>
        <v>100</v>
      </c>
      <c r="L6" s="12"/>
      <c r="M6" s="12"/>
      <c r="N6" s="12"/>
      <c r="O6" s="12"/>
      <c r="P6" s="33">
        <v>100</v>
      </c>
      <c r="Q6" s="12"/>
      <c r="R6" s="38"/>
      <c r="S6" s="38"/>
      <c r="T6" s="38"/>
    </row>
    <row r="7" spans="1:20" s="8" customFormat="1" ht="15" x14ac:dyDescent="0.25">
      <c r="A7" s="9" t="s">
        <v>17</v>
      </c>
      <c r="B7" s="9">
        <v>1</v>
      </c>
      <c r="C7" s="9" t="s">
        <v>18</v>
      </c>
      <c r="D7" s="9" t="s">
        <v>27</v>
      </c>
      <c r="E7" s="9" t="s">
        <v>286</v>
      </c>
      <c r="F7" s="9" t="s">
        <v>20</v>
      </c>
      <c r="G7" s="9" t="s">
        <v>28</v>
      </c>
      <c r="H7" s="9" t="s">
        <v>25</v>
      </c>
      <c r="I7" s="10">
        <f t="shared" si="0"/>
        <v>46015</v>
      </c>
      <c r="J7" s="9"/>
      <c r="K7" s="9">
        <f t="shared" si="1"/>
        <v>100</v>
      </c>
      <c r="L7" s="12">
        <v>0</v>
      </c>
      <c r="M7" s="12"/>
      <c r="N7" s="12"/>
      <c r="O7" s="12">
        <v>100</v>
      </c>
      <c r="P7" s="33">
        <v>100</v>
      </c>
      <c r="Q7" s="12"/>
      <c r="R7" s="38"/>
      <c r="S7" s="38"/>
      <c r="T7" s="38"/>
    </row>
    <row r="8" spans="1:20" s="8" customFormat="1" ht="15" x14ac:dyDescent="0.25">
      <c r="A8" s="9" t="s">
        <v>29</v>
      </c>
      <c r="B8" s="9">
        <v>1</v>
      </c>
      <c r="C8" s="9" t="s">
        <v>18</v>
      </c>
      <c r="D8" s="9" t="s">
        <v>30</v>
      </c>
      <c r="E8" s="9" t="s">
        <v>286</v>
      </c>
      <c r="F8" s="9" t="s">
        <v>20</v>
      </c>
      <c r="G8" s="9" t="s">
        <v>21</v>
      </c>
      <c r="H8" s="9" t="s">
        <v>15</v>
      </c>
      <c r="I8" s="10">
        <f t="shared" si="0"/>
        <v>46000</v>
      </c>
      <c r="J8" s="9"/>
      <c r="K8" s="9">
        <f t="shared" si="1"/>
        <v>100</v>
      </c>
      <c r="L8" s="12"/>
      <c r="M8" s="12"/>
      <c r="N8" s="12"/>
      <c r="O8" s="12"/>
      <c r="P8" s="33">
        <v>100</v>
      </c>
      <c r="Q8" s="12"/>
      <c r="R8" s="38"/>
      <c r="S8" s="38"/>
      <c r="T8" s="38"/>
    </row>
    <row r="9" spans="1:20" s="8" customFormat="1" ht="15" x14ac:dyDescent="0.25">
      <c r="A9" s="9" t="s">
        <v>29</v>
      </c>
      <c r="B9" s="9">
        <v>1</v>
      </c>
      <c r="C9" s="9" t="s">
        <v>18</v>
      </c>
      <c r="D9" s="9" t="s">
        <v>31</v>
      </c>
      <c r="E9" s="9" t="s">
        <v>286</v>
      </c>
      <c r="F9" s="9" t="s">
        <v>20</v>
      </c>
      <c r="G9" s="9" t="s">
        <v>21</v>
      </c>
      <c r="H9" s="9" t="s">
        <v>15</v>
      </c>
      <c r="I9" s="10">
        <f t="shared" si="0"/>
        <v>46000</v>
      </c>
      <c r="J9" s="9"/>
      <c r="K9" s="9">
        <f t="shared" si="1"/>
        <v>100</v>
      </c>
      <c r="L9" s="12">
        <v>0</v>
      </c>
      <c r="M9" s="12">
        <v>0</v>
      </c>
      <c r="N9" s="12">
        <v>0</v>
      </c>
      <c r="O9" s="12">
        <v>0</v>
      </c>
      <c r="P9" s="33">
        <v>100</v>
      </c>
      <c r="Q9" s="12"/>
      <c r="R9" s="38"/>
      <c r="S9" s="38"/>
      <c r="T9" s="38"/>
    </row>
    <row r="10" spans="1:20" s="8" customFormat="1" ht="15" x14ac:dyDescent="0.25">
      <c r="A10" s="9" t="s">
        <v>29</v>
      </c>
      <c r="B10" s="9">
        <v>4</v>
      </c>
      <c r="C10" s="9" t="s">
        <v>18</v>
      </c>
      <c r="D10" s="9" t="s">
        <v>32</v>
      </c>
      <c r="E10" s="9" t="s">
        <v>287</v>
      </c>
      <c r="F10" s="9" t="s">
        <v>20</v>
      </c>
      <c r="G10" s="9" t="s">
        <v>21</v>
      </c>
      <c r="H10" s="9" t="s">
        <v>25</v>
      </c>
      <c r="I10" s="10">
        <f t="shared" si="0"/>
        <v>46015</v>
      </c>
      <c r="J10" s="9"/>
      <c r="K10" s="9">
        <f t="shared" si="1"/>
        <v>0</v>
      </c>
      <c r="L10" s="12"/>
      <c r="M10" s="12"/>
      <c r="N10" s="12"/>
      <c r="O10" s="12"/>
      <c r="P10" s="33"/>
      <c r="Q10" s="12"/>
    </row>
    <row r="11" spans="1:20" s="8" customFormat="1" ht="15" x14ac:dyDescent="0.25">
      <c r="A11" s="9" t="s">
        <v>29</v>
      </c>
      <c r="B11" s="9">
        <v>4</v>
      </c>
      <c r="C11" s="9" t="s">
        <v>18</v>
      </c>
      <c r="D11" s="9" t="s">
        <v>33</v>
      </c>
      <c r="E11" s="9" t="s">
        <v>287</v>
      </c>
      <c r="F11" s="9" t="s">
        <v>20</v>
      </c>
      <c r="G11" s="9" t="s">
        <v>28</v>
      </c>
      <c r="H11" s="9" t="s">
        <v>25</v>
      </c>
      <c r="I11" s="10">
        <f t="shared" si="0"/>
        <v>46015</v>
      </c>
      <c r="J11" s="9"/>
      <c r="K11" s="9">
        <f t="shared" si="1"/>
        <v>0</v>
      </c>
      <c r="L11" s="12"/>
      <c r="M11" s="12"/>
      <c r="N11" s="12"/>
      <c r="O11" s="12"/>
      <c r="P11" s="33"/>
      <c r="Q11" s="12"/>
    </row>
    <row r="12" spans="1:20" s="8" customFormat="1" ht="15" x14ac:dyDescent="0.25">
      <c r="A12" s="9" t="s">
        <v>17</v>
      </c>
      <c r="B12" s="9">
        <v>5</v>
      </c>
      <c r="C12" s="9" t="s">
        <v>18</v>
      </c>
      <c r="D12" s="9" t="s">
        <v>34</v>
      </c>
      <c r="E12" s="9" t="s">
        <v>287</v>
      </c>
      <c r="F12" s="9" t="s">
        <v>20</v>
      </c>
      <c r="G12" s="9" t="s">
        <v>21</v>
      </c>
      <c r="H12" s="9" t="s">
        <v>25</v>
      </c>
      <c r="I12" s="10">
        <f t="shared" si="0"/>
        <v>46015</v>
      </c>
      <c r="J12" s="9"/>
      <c r="K12" s="9">
        <f t="shared" si="1"/>
        <v>100</v>
      </c>
      <c r="L12" s="12">
        <v>10</v>
      </c>
      <c r="M12" s="12">
        <v>10</v>
      </c>
      <c r="N12" s="12">
        <v>10</v>
      </c>
      <c r="O12" s="12">
        <v>20</v>
      </c>
      <c r="P12" s="33">
        <v>100</v>
      </c>
      <c r="Q12" s="12"/>
      <c r="R12" s="38"/>
      <c r="S12" s="38"/>
      <c r="T12" s="38"/>
    </row>
    <row r="13" spans="1:20" s="8" customFormat="1" ht="15" x14ac:dyDescent="0.25">
      <c r="A13" s="9" t="s">
        <v>35</v>
      </c>
      <c r="B13" s="9">
        <v>6</v>
      </c>
      <c r="C13" s="9" t="s">
        <v>3</v>
      </c>
      <c r="D13" s="9" t="s">
        <v>36</v>
      </c>
      <c r="E13" s="9" t="s">
        <v>288</v>
      </c>
      <c r="F13" s="9" t="s">
        <v>20</v>
      </c>
      <c r="G13" s="9" t="s">
        <v>37</v>
      </c>
      <c r="H13" s="9" t="s">
        <v>13</v>
      </c>
      <c r="I13" s="10">
        <f t="shared" si="0"/>
        <v>45973</v>
      </c>
      <c r="J13" s="9"/>
      <c r="K13" s="9">
        <f t="shared" si="1"/>
        <v>70</v>
      </c>
      <c r="L13" s="12">
        <v>15</v>
      </c>
      <c r="M13" s="12">
        <v>30</v>
      </c>
      <c r="N13" s="12">
        <v>45</v>
      </c>
      <c r="O13" s="12">
        <v>70</v>
      </c>
      <c r="P13" s="33"/>
      <c r="Q13" s="12"/>
    </row>
    <row r="14" spans="1:20" s="8" customFormat="1" ht="15" x14ac:dyDescent="0.25">
      <c r="A14" s="9" t="s">
        <v>35</v>
      </c>
      <c r="B14" s="9">
        <v>6</v>
      </c>
      <c r="C14" s="9" t="s">
        <v>3</v>
      </c>
      <c r="D14" s="9" t="s">
        <v>38</v>
      </c>
      <c r="E14" s="9" t="s">
        <v>289</v>
      </c>
      <c r="F14" s="9" t="s">
        <v>20</v>
      </c>
      <c r="G14" s="9" t="s">
        <v>21</v>
      </c>
      <c r="H14" s="9" t="s">
        <v>13</v>
      </c>
      <c r="I14" s="10">
        <f t="shared" si="0"/>
        <v>45973</v>
      </c>
      <c r="J14" s="9"/>
      <c r="K14" s="9">
        <f t="shared" si="1"/>
        <v>70</v>
      </c>
      <c r="L14" s="12">
        <v>15</v>
      </c>
      <c r="M14" s="12">
        <v>30</v>
      </c>
      <c r="N14" s="12">
        <v>45</v>
      </c>
      <c r="O14" s="12">
        <v>70</v>
      </c>
      <c r="P14" s="33"/>
      <c r="Q14" s="12"/>
    </row>
    <row r="15" spans="1:20" s="8" customFormat="1" ht="15" x14ac:dyDescent="0.25">
      <c r="A15" s="9" t="s">
        <v>35</v>
      </c>
      <c r="B15" s="9">
        <v>6</v>
      </c>
      <c r="C15" s="9" t="s">
        <v>3</v>
      </c>
      <c r="D15" s="9" t="s">
        <v>39</v>
      </c>
      <c r="E15" s="9" t="s">
        <v>290</v>
      </c>
      <c r="F15" s="9" t="s">
        <v>20</v>
      </c>
      <c r="G15" s="9" t="s">
        <v>21</v>
      </c>
      <c r="H15" s="9" t="s">
        <v>14</v>
      </c>
      <c r="I15" s="10">
        <f t="shared" si="0"/>
        <v>45986</v>
      </c>
      <c r="J15" s="9"/>
      <c r="K15" s="9">
        <f t="shared" si="1"/>
        <v>70</v>
      </c>
      <c r="L15" s="12">
        <v>15</v>
      </c>
      <c r="M15" s="12">
        <v>30</v>
      </c>
      <c r="N15" s="12">
        <v>45</v>
      </c>
      <c r="O15" s="12">
        <v>70</v>
      </c>
      <c r="P15" s="33"/>
      <c r="Q15" s="12"/>
    </row>
    <row r="16" spans="1:20" s="16" customFormat="1" ht="15" x14ac:dyDescent="0.25">
      <c r="A16" s="13" t="s">
        <v>40</v>
      </c>
      <c r="B16" s="9">
        <v>7</v>
      </c>
      <c r="C16" s="9" t="s">
        <v>3</v>
      </c>
      <c r="D16" s="9" t="s">
        <v>41</v>
      </c>
      <c r="E16" s="13" t="s">
        <v>291</v>
      </c>
      <c r="F16" s="9" t="s">
        <v>20</v>
      </c>
      <c r="G16" s="9" t="s">
        <v>28</v>
      </c>
      <c r="H16" s="9" t="s">
        <v>14</v>
      </c>
      <c r="I16" s="10">
        <f t="shared" si="0"/>
        <v>45986</v>
      </c>
      <c r="J16" s="9"/>
      <c r="K16" s="9">
        <f t="shared" si="1"/>
        <v>100</v>
      </c>
      <c r="L16" s="12">
        <v>65</v>
      </c>
      <c r="M16" s="12">
        <v>85</v>
      </c>
      <c r="N16" s="12">
        <v>90</v>
      </c>
      <c r="O16" s="12">
        <v>90</v>
      </c>
      <c r="P16" s="33">
        <v>100</v>
      </c>
      <c r="Q16" s="12"/>
      <c r="R16" s="38"/>
      <c r="S16" s="38"/>
      <c r="T16" s="38"/>
    </row>
    <row r="17" spans="1:20" s="8" customFormat="1" ht="15" x14ac:dyDescent="0.25">
      <c r="A17" s="9" t="s">
        <v>42</v>
      </c>
      <c r="B17" s="9">
        <v>7</v>
      </c>
      <c r="C17" s="9" t="s">
        <v>3</v>
      </c>
      <c r="D17" s="9" t="s">
        <v>43</v>
      </c>
      <c r="E17" s="13" t="s">
        <v>291</v>
      </c>
      <c r="F17" s="9" t="s">
        <v>20</v>
      </c>
      <c r="G17" s="9" t="s">
        <v>21</v>
      </c>
      <c r="H17" s="9" t="s">
        <v>11</v>
      </c>
      <c r="I17" s="10">
        <f t="shared" si="0"/>
        <v>45944</v>
      </c>
      <c r="J17" s="9"/>
      <c r="K17" s="9">
        <f t="shared" si="1"/>
        <v>30</v>
      </c>
      <c r="L17" s="12">
        <v>30</v>
      </c>
      <c r="M17" s="12"/>
      <c r="N17" s="12"/>
      <c r="O17" s="12"/>
      <c r="P17" s="33"/>
      <c r="Q17" s="12"/>
    </row>
    <row r="18" spans="1:20" s="8" customFormat="1" ht="15" x14ac:dyDescent="0.25">
      <c r="A18" s="9" t="s">
        <v>42</v>
      </c>
      <c r="B18" s="9">
        <v>7</v>
      </c>
      <c r="C18" s="9" t="s">
        <v>3</v>
      </c>
      <c r="D18" s="9" t="s">
        <v>44</v>
      </c>
      <c r="E18" s="13" t="s">
        <v>291</v>
      </c>
      <c r="F18" s="9" t="s">
        <v>20</v>
      </c>
      <c r="G18" s="9" t="s">
        <v>21</v>
      </c>
      <c r="H18" s="9" t="s">
        <v>11</v>
      </c>
      <c r="I18" s="10">
        <f t="shared" si="0"/>
        <v>45944</v>
      </c>
      <c r="J18" s="9"/>
      <c r="K18" s="9">
        <f t="shared" si="1"/>
        <v>30</v>
      </c>
      <c r="L18" s="12">
        <v>30</v>
      </c>
      <c r="M18" s="12"/>
      <c r="N18" s="12"/>
      <c r="O18" s="12"/>
      <c r="P18" s="33"/>
      <c r="Q18" s="12"/>
    </row>
    <row r="19" spans="1:20" s="8" customFormat="1" ht="15" x14ac:dyDescent="0.25">
      <c r="A19" s="9" t="s">
        <v>45</v>
      </c>
      <c r="B19" s="9">
        <v>8</v>
      </c>
      <c r="C19" s="9" t="s">
        <v>3</v>
      </c>
      <c r="D19" s="9" t="s">
        <v>46</v>
      </c>
      <c r="E19" s="13" t="s">
        <v>291</v>
      </c>
      <c r="F19" s="9" t="s">
        <v>20</v>
      </c>
      <c r="G19" s="9" t="s">
        <v>28</v>
      </c>
      <c r="H19" s="9" t="s">
        <v>11</v>
      </c>
      <c r="I19" s="10">
        <f t="shared" si="0"/>
        <v>45944</v>
      </c>
      <c r="J19" s="9"/>
      <c r="K19" s="9">
        <f t="shared" si="1"/>
        <v>100</v>
      </c>
      <c r="L19" s="12">
        <v>50</v>
      </c>
      <c r="M19" s="12">
        <v>100</v>
      </c>
      <c r="N19" s="12">
        <v>100</v>
      </c>
      <c r="O19" s="12">
        <v>100</v>
      </c>
      <c r="P19" s="33">
        <v>100</v>
      </c>
      <c r="Q19" s="12"/>
      <c r="R19" s="38"/>
      <c r="S19" s="38"/>
      <c r="T19" s="38"/>
    </row>
    <row r="20" spans="1:20" s="8" customFormat="1" ht="15" x14ac:dyDescent="0.25">
      <c r="A20" s="9" t="s">
        <v>45</v>
      </c>
      <c r="B20" s="9">
        <v>8</v>
      </c>
      <c r="C20" s="9" t="s">
        <v>3</v>
      </c>
      <c r="D20" s="9" t="s">
        <v>47</v>
      </c>
      <c r="E20" s="13" t="s">
        <v>291</v>
      </c>
      <c r="F20" s="9" t="s">
        <v>20</v>
      </c>
      <c r="G20" s="9" t="s">
        <v>21</v>
      </c>
      <c r="H20" s="9" t="s">
        <v>12</v>
      </c>
      <c r="I20" s="10">
        <f t="shared" si="0"/>
        <v>45958</v>
      </c>
      <c r="J20" s="9"/>
      <c r="K20" s="9">
        <f t="shared" si="1"/>
        <v>100</v>
      </c>
      <c r="L20" s="12">
        <v>50</v>
      </c>
      <c r="M20" s="12">
        <v>100</v>
      </c>
      <c r="N20" s="12">
        <v>100</v>
      </c>
      <c r="O20" s="12">
        <v>100</v>
      </c>
      <c r="P20" s="33">
        <v>100</v>
      </c>
      <c r="Q20" s="12"/>
      <c r="R20" s="38"/>
      <c r="S20" s="38"/>
      <c r="T20" s="38"/>
    </row>
    <row r="21" spans="1:20" s="8" customFormat="1" ht="15" x14ac:dyDescent="0.25">
      <c r="A21" s="9" t="s">
        <v>42</v>
      </c>
      <c r="B21" s="9">
        <v>8</v>
      </c>
      <c r="C21" s="9" t="s">
        <v>3</v>
      </c>
      <c r="D21" s="9" t="s">
        <v>48</v>
      </c>
      <c r="E21" s="13" t="s">
        <v>291</v>
      </c>
      <c r="F21" s="9" t="s">
        <v>20</v>
      </c>
      <c r="G21" s="9" t="s">
        <v>21</v>
      </c>
      <c r="H21" s="9" t="s">
        <v>11</v>
      </c>
      <c r="I21" s="10">
        <f t="shared" si="0"/>
        <v>45944</v>
      </c>
      <c r="J21" s="9"/>
      <c r="K21" s="9">
        <f t="shared" si="1"/>
        <v>100</v>
      </c>
      <c r="L21" s="12">
        <v>0</v>
      </c>
      <c r="M21" s="12">
        <v>0</v>
      </c>
      <c r="N21" s="12">
        <v>0</v>
      </c>
      <c r="O21" s="12">
        <v>0</v>
      </c>
      <c r="P21" s="33">
        <v>100</v>
      </c>
      <c r="Q21" s="12"/>
      <c r="R21" s="38"/>
      <c r="S21" s="38"/>
      <c r="T21" s="38"/>
    </row>
    <row r="22" spans="1:20" s="8" customFormat="1" ht="15" x14ac:dyDescent="0.25">
      <c r="A22" s="9" t="s">
        <v>45</v>
      </c>
      <c r="B22" s="9">
        <v>9</v>
      </c>
      <c r="C22" s="9" t="s">
        <v>3</v>
      </c>
      <c r="D22" s="9" t="s">
        <v>49</v>
      </c>
      <c r="E22" s="9" t="s">
        <v>292</v>
      </c>
      <c r="F22" s="9" t="s">
        <v>20</v>
      </c>
      <c r="G22" s="9" t="s">
        <v>28</v>
      </c>
      <c r="H22" s="9" t="s">
        <v>12</v>
      </c>
      <c r="I22" s="10">
        <f t="shared" si="0"/>
        <v>45958</v>
      </c>
      <c r="J22" s="9"/>
      <c r="K22" s="9">
        <f t="shared" si="1"/>
        <v>100</v>
      </c>
      <c r="L22" s="12">
        <v>65</v>
      </c>
      <c r="M22" s="12"/>
      <c r="N22" s="12"/>
      <c r="O22" s="12">
        <v>70</v>
      </c>
      <c r="P22" s="33">
        <v>100</v>
      </c>
      <c r="Q22" s="12"/>
      <c r="R22" s="38"/>
      <c r="S22" s="38"/>
      <c r="T22" s="38"/>
    </row>
    <row r="23" spans="1:20" s="8" customFormat="1" ht="15" x14ac:dyDescent="0.25">
      <c r="A23" s="9" t="s">
        <v>42</v>
      </c>
      <c r="B23" s="9">
        <v>9</v>
      </c>
      <c r="C23" s="9" t="s">
        <v>3</v>
      </c>
      <c r="D23" s="9" t="s">
        <v>50</v>
      </c>
      <c r="E23" s="9" t="s">
        <v>292</v>
      </c>
      <c r="F23" s="9" t="s">
        <v>20</v>
      </c>
      <c r="G23" s="9" t="s">
        <v>28</v>
      </c>
      <c r="H23" s="9" t="s">
        <v>13</v>
      </c>
      <c r="I23" s="10">
        <f t="shared" si="0"/>
        <v>45973</v>
      </c>
      <c r="J23" s="9"/>
      <c r="K23" s="9">
        <f t="shared" si="1"/>
        <v>100</v>
      </c>
      <c r="L23" s="12">
        <v>50</v>
      </c>
      <c r="M23" s="12">
        <v>50</v>
      </c>
      <c r="N23" s="12">
        <v>50</v>
      </c>
      <c r="O23" s="12">
        <v>50</v>
      </c>
      <c r="P23" s="33">
        <v>100</v>
      </c>
      <c r="Q23" s="12"/>
      <c r="R23" s="38"/>
      <c r="S23" s="38"/>
      <c r="T23" s="38"/>
    </row>
    <row r="24" spans="1:20" s="8" customFormat="1" ht="15" x14ac:dyDescent="0.25">
      <c r="A24" s="9" t="s">
        <v>45</v>
      </c>
      <c r="B24" s="9">
        <v>9</v>
      </c>
      <c r="C24" s="9" t="s">
        <v>3</v>
      </c>
      <c r="D24" s="9" t="s">
        <v>51</v>
      </c>
      <c r="E24" s="9" t="s">
        <v>292</v>
      </c>
      <c r="F24" s="9" t="s">
        <v>20</v>
      </c>
      <c r="G24" s="9" t="s">
        <v>21</v>
      </c>
      <c r="H24" s="9" t="s">
        <v>11</v>
      </c>
      <c r="I24" s="10">
        <f t="shared" si="0"/>
        <v>45944</v>
      </c>
      <c r="J24" s="9"/>
      <c r="K24" s="9">
        <f t="shared" si="1"/>
        <v>100</v>
      </c>
      <c r="L24" s="12">
        <v>55</v>
      </c>
      <c r="M24" s="12">
        <v>70</v>
      </c>
      <c r="N24" s="12">
        <v>75</v>
      </c>
      <c r="O24" s="12">
        <v>80</v>
      </c>
      <c r="P24" s="33">
        <v>100</v>
      </c>
      <c r="Q24" s="12"/>
      <c r="R24" s="38"/>
      <c r="S24" s="38"/>
      <c r="T24" s="38"/>
    </row>
    <row r="25" spans="1:20" s="8" customFormat="1" ht="15" x14ac:dyDescent="0.25">
      <c r="A25" s="9" t="s">
        <v>45</v>
      </c>
      <c r="B25" s="9">
        <v>9</v>
      </c>
      <c r="C25" s="9" t="s">
        <v>3</v>
      </c>
      <c r="D25" s="9" t="s">
        <v>52</v>
      </c>
      <c r="E25" s="9" t="s">
        <v>292</v>
      </c>
      <c r="F25" s="9" t="s">
        <v>20</v>
      </c>
      <c r="G25" s="9" t="s">
        <v>21</v>
      </c>
      <c r="H25" s="9" t="s">
        <v>12</v>
      </c>
      <c r="I25" s="10">
        <f t="shared" si="0"/>
        <v>45958</v>
      </c>
      <c r="J25" s="9"/>
      <c r="K25" s="9">
        <f t="shared" si="1"/>
        <v>80</v>
      </c>
      <c r="L25" s="12">
        <v>60</v>
      </c>
      <c r="M25" s="12">
        <v>70</v>
      </c>
      <c r="N25" s="12">
        <v>75</v>
      </c>
      <c r="O25" s="12">
        <v>80</v>
      </c>
      <c r="P25" s="33"/>
      <c r="Q25" s="12"/>
    </row>
    <row r="26" spans="1:20" s="8" customFormat="1" ht="15" x14ac:dyDescent="0.25">
      <c r="A26" s="9" t="s">
        <v>42</v>
      </c>
      <c r="B26" s="9">
        <v>9</v>
      </c>
      <c r="C26" s="9" t="s">
        <v>3</v>
      </c>
      <c r="D26" s="9" t="s">
        <v>53</v>
      </c>
      <c r="E26" s="9" t="s">
        <v>292</v>
      </c>
      <c r="F26" s="9" t="s">
        <v>20</v>
      </c>
      <c r="G26" s="9" t="s">
        <v>21</v>
      </c>
      <c r="H26" s="9" t="s">
        <v>11</v>
      </c>
      <c r="I26" s="10">
        <f t="shared" si="0"/>
        <v>45944</v>
      </c>
      <c r="J26" s="9"/>
      <c r="K26" s="9">
        <f t="shared" si="1"/>
        <v>0</v>
      </c>
      <c r="L26" s="12">
        <v>0</v>
      </c>
      <c r="M26" s="12">
        <v>0</v>
      </c>
      <c r="N26" s="12">
        <v>0</v>
      </c>
      <c r="O26" s="12">
        <v>0</v>
      </c>
      <c r="P26" s="33"/>
      <c r="Q26" s="12"/>
    </row>
    <row r="27" spans="1:20" s="16" customFormat="1" ht="15" x14ac:dyDescent="0.25">
      <c r="A27" s="13" t="s">
        <v>40</v>
      </c>
      <c r="B27" s="9">
        <v>10</v>
      </c>
      <c r="C27" s="9" t="s">
        <v>3</v>
      </c>
      <c r="D27" s="9" t="s">
        <v>54</v>
      </c>
      <c r="E27" s="9" t="s">
        <v>292</v>
      </c>
      <c r="F27" s="9" t="s">
        <v>20</v>
      </c>
      <c r="G27" s="9" t="s">
        <v>21</v>
      </c>
      <c r="H27" s="9" t="s">
        <v>11</v>
      </c>
      <c r="I27" s="10">
        <f t="shared" si="0"/>
        <v>45944</v>
      </c>
      <c r="J27" s="9" t="s">
        <v>55</v>
      </c>
      <c r="K27" s="9">
        <f t="shared" si="1"/>
        <v>100</v>
      </c>
      <c r="L27" s="12">
        <v>80</v>
      </c>
      <c r="M27" s="12">
        <v>100</v>
      </c>
      <c r="N27" s="12">
        <v>100</v>
      </c>
      <c r="O27" s="12">
        <v>100</v>
      </c>
      <c r="P27" s="33">
        <v>100</v>
      </c>
      <c r="Q27" s="12"/>
      <c r="R27" s="38"/>
      <c r="S27" s="38"/>
      <c r="T27" s="38"/>
    </row>
    <row r="28" spans="1:20" s="16" customFormat="1" ht="15" x14ac:dyDescent="0.25">
      <c r="A28" s="13" t="s">
        <v>40</v>
      </c>
      <c r="B28" s="9">
        <v>10</v>
      </c>
      <c r="C28" s="9" t="s">
        <v>3</v>
      </c>
      <c r="D28" s="9" t="s">
        <v>56</v>
      </c>
      <c r="E28" s="9" t="s">
        <v>292</v>
      </c>
      <c r="F28" s="9" t="s">
        <v>20</v>
      </c>
      <c r="G28" s="9" t="s">
        <v>21</v>
      </c>
      <c r="H28" s="9" t="s">
        <v>13</v>
      </c>
      <c r="I28" s="10">
        <f t="shared" si="0"/>
        <v>45973</v>
      </c>
      <c r="J28" s="9" t="s">
        <v>55</v>
      </c>
      <c r="K28" s="9">
        <f t="shared" si="1"/>
        <v>80</v>
      </c>
      <c r="L28" s="12">
        <v>30</v>
      </c>
      <c r="M28" s="12">
        <v>60</v>
      </c>
      <c r="N28" s="12">
        <v>70</v>
      </c>
      <c r="O28" s="12">
        <v>80</v>
      </c>
      <c r="P28" s="33"/>
      <c r="Q28" s="12"/>
    </row>
    <row r="29" spans="1:20" s="8" customFormat="1" ht="15" x14ac:dyDescent="0.25">
      <c r="A29" s="9" t="s">
        <v>42</v>
      </c>
      <c r="B29" s="9">
        <v>10</v>
      </c>
      <c r="C29" s="9" t="s">
        <v>3</v>
      </c>
      <c r="D29" s="9" t="s">
        <v>57</v>
      </c>
      <c r="E29" s="9" t="s">
        <v>292</v>
      </c>
      <c r="F29" s="9" t="s">
        <v>20</v>
      </c>
      <c r="G29" s="9" t="s">
        <v>21</v>
      </c>
      <c r="H29" s="9" t="s">
        <v>14</v>
      </c>
      <c r="I29" s="10">
        <f t="shared" si="0"/>
        <v>45986</v>
      </c>
      <c r="J29" s="9"/>
      <c r="K29" s="9">
        <f t="shared" si="1"/>
        <v>0</v>
      </c>
      <c r="L29" s="12">
        <v>0</v>
      </c>
      <c r="M29" s="12">
        <v>0</v>
      </c>
      <c r="N29" s="12">
        <v>0</v>
      </c>
      <c r="O29" s="12">
        <v>0</v>
      </c>
      <c r="P29" s="33"/>
      <c r="Q29" s="12"/>
    </row>
    <row r="30" spans="1:20" s="8" customFormat="1" ht="15" x14ac:dyDescent="0.25">
      <c r="A30" s="9" t="s">
        <v>45</v>
      </c>
      <c r="B30" s="9">
        <v>11</v>
      </c>
      <c r="C30" s="9" t="s">
        <v>3</v>
      </c>
      <c r="D30" s="9" t="s">
        <v>58</v>
      </c>
      <c r="E30" s="9" t="s">
        <v>292</v>
      </c>
      <c r="F30" s="9" t="s">
        <v>20</v>
      </c>
      <c r="G30" s="9" t="s">
        <v>59</v>
      </c>
      <c r="H30" s="9" t="s">
        <v>11</v>
      </c>
      <c r="I30" s="10">
        <f t="shared" si="0"/>
        <v>45944</v>
      </c>
      <c r="J30" s="9"/>
      <c r="K30" s="9">
        <f t="shared" si="1"/>
        <v>75</v>
      </c>
      <c r="L30" s="12">
        <v>65</v>
      </c>
      <c r="M30" s="12">
        <v>70</v>
      </c>
      <c r="N30" s="12">
        <v>75</v>
      </c>
      <c r="O30" s="12">
        <v>75</v>
      </c>
      <c r="P30" s="33"/>
      <c r="Q30" s="12"/>
    </row>
    <row r="31" spans="1:20" s="8" customFormat="1" ht="15" x14ac:dyDescent="0.25">
      <c r="A31" s="9" t="s">
        <v>42</v>
      </c>
      <c r="B31" s="9">
        <v>11</v>
      </c>
      <c r="C31" s="9" t="s">
        <v>3</v>
      </c>
      <c r="D31" s="9" t="s">
        <v>60</v>
      </c>
      <c r="E31" s="9" t="s">
        <v>292</v>
      </c>
      <c r="F31" s="9" t="s">
        <v>20</v>
      </c>
      <c r="G31" s="9" t="s">
        <v>21</v>
      </c>
      <c r="H31" s="9" t="s">
        <v>12</v>
      </c>
      <c r="I31" s="10">
        <f t="shared" si="0"/>
        <v>45958</v>
      </c>
      <c r="J31" s="9"/>
      <c r="K31" s="9">
        <f t="shared" si="1"/>
        <v>30</v>
      </c>
      <c r="L31" s="12">
        <v>30</v>
      </c>
      <c r="M31" s="12">
        <v>30</v>
      </c>
      <c r="N31" s="12">
        <v>30</v>
      </c>
      <c r="O31" s="12">
        <v>30</v>
      </c>
      <c r="P31" s="33"/>
      <c r="Q31" s="12"/>
    </row>
    <row r="32" spans="1:20" s="16" customFormat="1" ht="15" x14ac:dyDescent="0.25">
      <c r="A32" s="13" t="s">
        <v>40</v>
      </c>
      <c r="B32" s="9">
        <v>12</v>
      </c>
      <c r="C32" s="9" t="s">
        <v>3</v>
      </c>
      <c r="D32" s="9" t="s">
        <v>61</v>
      </c>
      <c r="E32" s="9" t="s">
        <v>292</v>
      </c>
      <c r="F32" s="9" t="s">
        <v>20</v>
      </c>
      <c r="G32" s="9" t="s">
        <v>59</v>
      </c>
      <c r="H32" s="9" t="s">
        <v>11</v>
      </c>
      <c r="I32" s="10">
        <f t="shared" si="0"/>
        <v>45944</v>
      </c>
      <c r="J32" s="9" t="s">
        <v>300</v>
      </c>
      <c r="K32" s="9">
        <f t="shared" si="1"/>
        <v>100</v>
      </c>
      <c r="L32" s="12">
        <v>80</v>
      </c>
      <c r="M32" s="12">
        <v>100</v>
      </c>
      <c r="N32" s="12">
        <v>100</v>
      </c>
      <c r="O32" s="12">
        <v>100</v>
      </c>
      <c r="P32" s="33">
        <v>100</v>
      </c>
      <c r="Q32" s="12"/>
      <c r="R32" s="38"/>
      <c r="S32" s="38"/>
      <c r="T32" s="38"/>
    </row>
    <row r="33" spans="1:20" s="16" customFormat="1" ht="15" x14ac:dyDescent="0.25">
      <c r="A33" s="13" t="s">
        <v>40</v>
      </c>
      <c r="B33" s="9">
        <v>12</v>
      </c>
      <c r="C33" s="9" t="s">
        <v>3</v>
      </c>
      <c r="D33" s="9" t="s">
        <v>62</v>
      </c>
      <c r="E33" s="9" t="s">
        <v>292</v>
      </c>
      <c r="F33" s="9" t="s">
        <v>20</v>
      </c>
      <c r="G33" s="9" t="s">
        <v>21</v>
      </c>
      <c r="H33" s="9" t="s">
        <v>13</v>
      </c>
      <c r="I33" s="10">
        <f t="shared" si="0"/>
        <v>45973</v>
      </c>
      <c r="J33" s="9"/>
      <c r="K33" s="9">
        <f t="shared" si="1"/>
        <v>80</v>
      </c>
      <c r="L33" s="12">
        <v>40</v>
      </c>
      <c r="M33" s="12">
        <v>60</v>
      </c>
      <c r="N33" s="12">
        <v>80</v>
      </c>
      <c r="O33" s="12">
        <v>80</v>
      </c>
      <c r="P33" s="33"/>
      <c r="Q33" s="12"/>
    </row>
    <row r="34" spans="1:20" s="8" customFormat="1" ht="15" x14ac:dyDescent="0.25">
      <c r="A34" s="9" t="s">
        <v>42</v>
      </c>
      <c r="B34" s="9">
        <v>12</v>
      </c>
      <c r="C34" s="9" t="s">
        <v>3</v>
      </c>
      <c r="D34" s="9" t="s">
        <v>63</v>
      </c>
      <c r="E34" s="9" t="s">
        <v>292</v>
      </c>
      <c r="F34" s="9" t="s">
        <v>20</v>
      </c>
      <c r="G34" s="9" t="s">
        <v>21</v>
      </c>
      <c r="H34" s="9" t="s">
        <v>14</v>
      </c>
      <c r="I34" s="10">
        <f t="shared" si="0"/>
        <v>45986</v>
      </c>
      <c r="J34" s="9"/>
      <c r="K34" s="9">
        <f t="shared" si="1"/>
        <v>30</v>
      </c>
      <c r="L34" s="12">
        <v>30</v>
      </c>
      <c r="M34" s="12">
        <v>30</v>
      </c>
      <c r="N34" s="12">
        <v>30</v>
      </c>
      <c r="O34" s="12">
        <v>30</v>
      </c>
      <c r="P34" s="33"/>
      <c r="Q34" s="12"/>
    </row>
    <row r="35" spans="1:20" s="8" customFormat="1" ht="15" x14ac:dyDescent="0.25">
      <c r="A35" s="9" t="s">
        <v>42</v>
      </c>
      <c r="B35" s="9">
        <v>13</v>
      </c>
      <c r="C35" s="9" t="s">
        <v>3</v>
      </c>
      <c r="D35" s="9" t="s">
        <v>64</v>
      </c>
      <c r="E35" s="9" t="s">
        <v>293</v>
      </c>
      <c r="F35" s="9" t="s">
        <v>20</v>
      </c>
      <c r="G35" s="9" t="s">
        <v>21</v>
      </c>
      <c r="H35" s="9" t="s">
        <v>14</v>
      </c>
      <c r="I35" s="10">
        <f t="shared" si="0"/>
        <v>45986</v>
      </c>
      <c r="J35" s="9"/>
      <c r="K35" s="9">
        <f t="shared" si="1"/>
        <v>0</v>
      </c>
      <c r="L35" s="12">
        <v>0</v>
      </c>
      <c r="M35" s="12">
        <v>0</v>
      </c>
      <c r="N35" s="12">
        <v>0</v>
      </c>
      <c r="O35" s="12">
        <v>0</v>
      </c>
      <c r="P35" s="33"/>
      <c r="Q35" s="12"/>
    </row>
    <row r="36" spans="1:20" s="8" customFormat="1" ht="15" x14ac:dyDescent="0.25">
      <c r="A36" s="9" t="s">
        <v>45</v>
      </c>
      <c r="B36" s="9">
        <v>13</v>
      </c>
      <c r="C36" s="9" t="s">
        <v>3</v>
      </c>
      <c r="D36" s="9" t="s">
        <v>65</v>
      </c>
      <c r="E36" s="9" t="s">
        <v>293</v>
      </c>
      <c r="F36" s="9" t="s">
        <v>20</v>
      </c>
      <c r="G36" s="9" t="s">
        <v>21</v>
      </c>
      <c r="H36" s="9" t="s">
        <v>12</v>
      </c>
      <c r="I36" s="10">
        <f t="shared" si="0"/>
        <v>45958</v>
      </c>
      <c r="J36" s="9"/>
      <c r="K36" s="9">
        <f t="shared" si="1"/>
        <v>75</v>
      </c>
      <c r="L36" s="12">
        <v>30</v>
      </c>
      <c r="M36" s="12">
        <v>50</v>
      </c>
      <c r="N36" s="12">
        <v>55</v>
      </c>
      <c r="O36" s="12">
        <v>75</v>
      </c>
      <c r="P36" s="33"/>
      <c r="Q36" s="12"/>
    </row>
    <row r="37" spans="1:20" s="8" customFormat="1" ht="15" x14ac:dyDescent="0.25">
      <c r="A37" s="9" t="s">
        <v>45</v>
      </c>
      <c r="B37" s="9">
        <v>13</v>
      </c>
      <c r="C37" s="9" t="s">
        <v>3</v>
      </c>
      <c r="D37" s="9" t="s">
        <v>66</v>
      </c>
      <c r="E37" s="9" t="s">
        <v>293</v>
      </c>
      <c r="F37" s="9" t="s">
        <v>20</v>
      </c>
      <c r="G37" s="9" t="s">
        <v>21</v>
      </c>
      <c r="H37" s="9" t="s">
        <v>13</v>
      </c>
      <c r="I37" s="10">
        <f t="shared" si="0"/>
        <v>45973</v>
      </c>
      <c r="J37" s="9"/>
      <c r="K37" s="9">
        <f t="shared" si="1"/>
        <v>0</v>
      </c>
      <c r="L37" s="12">
        <v>0</v>
      </c>
      <c r="M37" s="12">
        <v>0</v>
      </c>
      <c r="N37" s="12">
        <v>0</v>
      </c>
      <c r="O37" s="12">
        <v>0</v>
      </c>
      <c r="P37" s="33"/>
      <c r="Q37" s="12"/>
    </row>
    <row r="38" spans="1:20" s="8" customFormat="1" ht="15" x14ac:dyDescent="0.25">
      <c r="A38" s="9" t="s">
        <v>17</v>
      </c>
      <c r="B38" s="9">
        <v>14</v>
      </c>
      <c r="C38" s="9" t="s">
        <v>18</v>
      </c>
      <c r="D38" s="9" t="s">
        <v>67</v>
      </c>
      <c r="E38" s="9" t="s">
        <v>294</v>
      </c>
      <c r="F38" s="9" t="s">
        <v>20</v>
      </c>
      <c r="G38" s="9" t="s">
        <v>21</v>
      </c>
      <c r="H38" s="9" t="s">
        <v>11</v>
      </c>
      <c r="I38" s="10">
        <f t="shared" si="0"/>
        <v>45944</v>
      </c>
      <c r="J38" s="9"/>
      <c r="K38" s="9">
        <f t="shared" si="1"/>
        <v>25</v>
      </c>
      <c r="L38" s="12">
        <v>10</v>
      </c>
      <c r="M38" s="12">
        <v>10</v>
      </c>
      <c r="N38" s="12">
        <v>10</v>
      </c>
      <c r="O38" s="12">
        <v>25</v>
      </c>
      <c r="P38" s="33"/>
      <c r="Q38" s="12"/>
    </row>
    <row r="39" spans="1:20" s="8" customFormat="1" ht="15" x14ac:dyDescent="0.25">
      <c r="A39" s="9" t="s">
        <v>29</v>
      </c>
      <c r="B39" s="9">
        <v>14</v>
      </c>
      <c r="C39" s="9" t="s">
        <v>18</v>
      </c>
      <c r="D39" s="9" t="s">
        <v>68</v>
      </c>
      <c r="E39" s="9" t="s">
        <v>294</v>
      </c>
      <c r="F39" s="9" t="s">
        <v>20</v>
      </c>
      <c r="G39" s="9" t="s">
        <v>21</v>
      </c>
      <c r="H39" s="9" t="s">
        <v>25</v>
      </c>
      <c r="I39" s="10">
        <f t="shared" si="0"/>
        <v>46015</v>
      </c>
      <c r="J39" s="9"/>
      <c r="K39" s="9">
        <f t="shared" si="1"/>
        <v>0</v>
      </c>
      <c r="L39" s="12"/>
      <c r="M39" s="12"/>
      <c r="N39" s="12"/>
      <c r="O39" s="12"/>
      <c r="P39" s="33"/>
      <c r="Q39" s="12"/>
    </row>
    <row r="40" spans="1:20" s="16" customFormat="1" ht="15" x14ac:dyDescent="0.25">
      <c r="A40" s="13" t="s">
        <v>40</v>
      </c>
      <c r="B40" s="9">
        <v>14</v>
      </c>
      <c r="C40" s="9" t="s">
        <v>3</v>
      </c>
      <c r="D40" s="9" t="s">
        <v>69</v>
      </c>
      <c r="E40" s="13" t="s">
        <v>295</v>
      </c>
      <c r="F40" s="9" t="s">
        <v>20</v>
      </c>
      <c r="G40" s="9" t="s">
        <v>21</v>
      </c>
      <c r="H40" s="9" t="s">
        <v>70</v>
      </c>
      <c r="I40" s="10">
        <f t="shared" si="0"/>
        <v>46015</v>
      </c>
      <c r="J40" s="9"/>
      <c r="K40" s="9">
        <f t="shared" si="1"/>
        <v>30</v>
      </c>
      <c r="L40" s="12">
        <v>0</v>
      </c>
      <c r="M40" s="12">
        <v>10</v>
      </c>
      <c r="N40" s="12">
        <v>20</v>
      </c>
      <c r="O40" s="12">
        <v>30</v>
      </c>
      <c r="P40" s="33"/>
      <c r="Q40" s="12"/>
    </row>
    <row r="41" spans="1:20" s="16" customFormat="1" ht="15" x14ac:dyDescent="0.25">
      <c r="A41" s="13" t="s">
        <v>40</v>
      </c>
      <c r="B41" s="9">
        <v>15</v>
      </c>
      <c r="C41" s="9" t="s">
        <v>3</v>
      </c>
      <c r="D41" s="9" t="s">
        <v>71</v>
      </c>
      <c r="E41" s="9" t="s">
        <v>293</v>
      </c>
      <c r="F41" s="9" t="s">
        <v>20</v>
      </c>
      <c r="G41" s="9" t="s">
        <v>28</v>
      </c>
      <c r="H41" s="9" t="s">
        <v>13</v>
      </c>
      <c r="I41" s="10">
        <f t="shared" si="0"/>
        <v>45973</v>
      </c>
      <c r="J41" s="9"/>
      <c r="K41" s="9">
        <f t="shared" si="1"/>
        <v>100</v>
      </c>
      <c r="L41" s="12">
        <v>60</v>
      </c>
      <c r="M41" s="12">
        <v>80</v>
      </c>
      <c r="N41" s="12">
        <v>95</v>
      </c>
      <c r="O41" s="12">
        <v>95</v>
      </c>
      <c r="P41" s="33">
        <v>100</v>
      </c>
      <c r="Q41" s="12"/>
      <c r="R41" s="38"/>
      <c r="S41" s="38"/>
      <c r="T41" s="38"/>
    </row>
    <row r="42" spans="1:20" s="16" customFormat="1" ht="15" x14ac:dyDescent="0.25">
      <c r="A42" s="13" t="s">
        <v>40</v>
      </c>
      <c r="B42" s="9">
        <v>15</v>
      </c>
      <c r="C42" s="9" t="s">
        <v>3</v>
      </c>
      <c r="D42" s="9" t="s">
        <v>72</v>
      </c>
      <c r="E42" s="9" t="s">
        <v>293</v>
      </c>
      <c r="F42" s="9" t="s">
        <v>20</v>
      </c>
      <c r="G42" s="9" t="s">
        <v>21</v>
      </c>
      <c r="H42" s="9" t="s">
        <v>13</v>
      </c>
      <c r="I42" s="10">
        <f t="shared" si="0"/>
        <v>45973</v>
      </c>
      <c r="J42" s="9"/>
      <c r="K42" s="9">
        <f t="shared" si="1"/>
        <v>90</v>
      </c>
      <c r="L42" s="12">
        <v>25</v>
      </c>
      <c r="M42" s="12">
        <v>60</v>
      </c>
      <c r="N42" s="12">
        <v>80</v>
      </c>
      <c r="O42" s="12">
        <v>90</v>
      </c>
      <c r="P42" s="33"/>
      <c r="Q42" s="12"/>
    </row>
    <row r="43" spans="1:20" s="16" customFormat="1" ht="15" x14ac:dyDescent="0.25">
      <c r="A43" s="13" t="s">
        <v>40</v>
      </c>
      <c r="B43" s="9">
        <v>16</v>
      </c>
      <c r="C43" s="9" t="s">
        <v>3</v>
      </c>
      <c r="D43" s="9" t="s">
        <v>73</v>
      </c>
      <c r="E43" s="13" t="s">
        <v>295</v>
      </c>
      <c r="F43" s="9" t="s">
        <v>20</v>
      </c>
      <c r="G43" s="9" t="s">
        <v>28</v>
      </c>
      <c r="H43" s="9" t="s">
        <v>70</v>
      </c>
      <c r="I43" s="10">
        <f t="shared" si="0"/>
        <v>46015</v>
      </c>
      <c r="J43" s="9"/>
      <c r="K43" s="9">
        <f t="shared" si="1"/>
        <v>50</v>
      </c>
      <c r="L43" s="12">
        <v>20</v>
      </c>
      <c r="M43" s="12">
        <v>30</v>
      </c>
      <c r="N43" s="12">
        <v>40</v>
      </c>
      <c r="O43" s="12">
        <v>50</v>
      </c>
      <c r="P43" s="33"/>
      <c r="Q43" s="12"/>
    </row>
    <row r="44" spans="1:20" s="8" customFormat="1" ht="15" x14ac:dyDescent="0.25">
      <c r="A44" s="9" t="s">
        <v>42</v>
      </c>
      <c r="B44" s="9">
        <v>16</v>
      </c>
      <c r="C44" s="9" t="s">
        <v>3</v>
      </c>
      <c r="D44" s="9" t="s">
        <v>74</v>
      </c>
      <c r="E44" s="13" t="s">
        <v>295</v>
      </c>
      <c r="F44" s="9" t="s">
        <v>20</v>
      </c>
      <c r="G44" s="9" t="s">
        <v>59</v>
      </c>
      <c r="H44" s="9" t="s">
        <v>75</v>
      </c>
      <c r="I44" s="10">
        <f t="shared" si="0"/>
        <v>46015</v>
      </c>
      <c r="J44" s="9"/>
      <c r="K44" s="9">
        <f t="shared" si="1"/>
        <v>0</v>
      </c>
      <c r="L44" s="12">
        <v>0</v>
      </c>
      <c r="M44" s="12">
        <v>0</v>
      </c>
      <c r="N44" s="12">
        <v>0</v>
      </c>
      <c r="O44" s="12">
        <v>0</v>
      </c>
      <c r="P44" s="33"/>
      <c r="Q44" s="12"/>
    </row>
    <row r="45" spans="1:20" s="8" customFormat="1" ht="15" x14ac:dyDescent="0.25">
      <c r="A45" s="9" t="s">
        <v>76</v>
      </c>
      <c r="B45" s="9">
        <v>17</v>
      </c>
      <c r="C45" s="9" t="s">
        <v>3</v>
      </c>
      <c r="D45" s="9" t="s">
        <v>77</v>
      </c>
      <c r="E45" s="9" t="s">
        <v>296</v>
      </c>
      <c r="F45" s="9" t="s">
        <v>20</v>
      </c>
      <c r="G45" s="9" t="s">
        <v>21</v>
      </c>
      <c r="H45" s="9" t="s">
        <v>15</v>
      </c>
      <c r="I45" s="10">
        <f t="shared" si="0"/>
        <v>46000</v>
      </c>
      <c r="J45" s="9"/>
      <c r="K45" s="9">
        <f t="shared" si="1"/>
        <v>33</v>
      </c>
      <c r="L45" s="12">
        <v>16</v>
      </c>
      <c r="M45" s="12">
        <v>16</v>
      </c>
      <c r="N45" s="12">
        <v>16</v>
      </c>
      <c r="O45" s="12">
        <v>33</v>
      </c>
      <c r="P45" s="33"/>
      <c r="Q45" s="12"/>
    </row>
    <row r="46" spans="1:20" s="8" customFormat="1" ht="15" x14ac:dyDescent="0.25">
      <c r="A46" s="9" t="s">
        <v>76</v>
      </c>
      <c r="B46" s="9">
        <v>17</v>
      </c>
      <c r="C46" s="9" t="s">
        <v>3</v>
      </c>
      <c r="D46" s="9" t="s">
        <v>78</v>
      </c>
      <c r="E46" s="9" t="s">
        <v>296</v>
      </c>
      <c r="F46" s="9" t="s">
        <v>20</v>
      </c>
      <c r="G46" s="9" t="s">
        <v>21</v>
      </c>
      <c r="H46" s="9" t="s">
        <v>15</v>
      </c>
      <c r="I46" s="10">
        <f t="shared" si="0"/>
        <v>46000</v>
      </c>
      <c r="J46" s="9"/>
      <c r="K46" s="9">
        <f t="shared" si="1"/>
        <v>30</v>
      </c>
      <c r="L46" s="12">
        <v>0</v>
      </c>
      <c r="M46" s="12">
        <v>0</v>
      </c>
      <c r="N46" s="12">
        <v>7</v>
      </c>
      <c r="O46" s="12">
        <v>30</v>
      </c>
      <c r="P46" s="33"/>
      <c r="Q46" s="12"/>
    </row>
    <row r="47" spans="1:20" s="8" customFormat="1" ht="15" x14ac:dyDescent="0.25">
      <c r="A47" s="9" t="s">
        <v>76</v>
      </c>
      <c r="B47" s="9">
        <v>18</v>
      </c>
      <c r="C47" s="9" t="s">
        <v>3</v>
      </c>
      <c r="D47" s="9" t="s">
        <v>79</v>
      </c>
      <c r="E47" s="9" t="s">
        <v>291</v>
      </c>
      <c r="F47" s="9" t="s">
        <v>20</v>
      </c>
      <c r="G47" s="9" t="s">
        <v>21</v>
      </c>
      <c r="H47" s="9" t="s">
        <v>25</v>
      </c>
      <c r="I47" s="10">
        <f t="shared" si="0"/>
        <v>46015</v>
      </c>
      <c r="J47" s="9"/>
      <c r="K47" s="9">
        <f t="shared" si="1"/>
        <v>41</v>
      </c>
      <c r="L47" s="12">
        <v>25</v>
      </c>
      <c r="M47" s="12">
        <v>25</v>
      </c>
      <c r="N47" s="12">
        <v>33</v>
      </c>
      <c r="O47" s="12">
        <v>41</v>
      </c>
      <c r="P47" s="33"/>
      <c r="Q47" s="12"/>
    </row>
    <row r="48" spans="1:20" s="8" customFormat="1" ht="15" x14ac:dyDescent="0.25">
      <c r="A48" s="9" t="s">
        <v>76</v>
      </c>
      <c r="B48" s="9">
        <v>18</v>
      </c>
      <c r="C48" s="9" t="s">
        <v>3</v>
      </c>
      <c r="D48" s="9" t="s">
        <v>80</v>
      </c>
      <c r="E48" s="9" t="s">
        <v>291</v>
      </c>
      <c r="F48" s="9" t="s">
        <v>20</v>
      </c>
      <c r="G48" s="9" t="s">
        <v>21</v>
      </c>
      <c r="H48" s="9" t="s">
        <v>14</v>
      </c>
      <c r="I48" s="10">
        <f t="shared" si="0"/>
        <v>45986</v>
      </c>
      <c r="J48" s="9"/>
      <c r="K48" s="9">
        <f t="shared" si="1"/>
        <v>60</v>
      </c>
      <c r="L48" s="12">
        <v>44</v>
      </c>
      <c r="M48" s="12">
        <v>55</v>
      </c>
      <c r="N48" s="12">
        <v>60</v>
      </c>
      <c r="O48" s="12">
        <v>60</v>
      </c>
      <c r="P48" s="33"/>
      <c r="Q48" s="12"/>
    </row>
    <row r="49" spans="1:20" s="8" customFormat="1" ht="15" x14ac:dyDescent="0.25">
      <c r="A49" s="9" t="s">
        <v>76</v>
      </c>
      <c r="B49" s="9">
        <v>18</v>
      </c>
      <c r="C49" s="9" t="s">
        <v>3</v>
      </c>
      <c r="D49" s="9" t="s">
        <v>81</v>
      </c>
      <c r="E49" s="9" t="s">
        <v>291</v>
      </c>
      <c r="F49" s="9" t="s">
        <v>20</v>
      </c>
      <c r="G49" s="9" t="s">
        <v>21</v>
      </c>
      <c r="H49" s="9" t="s">
        <v>15</v>
      </c>
      <c r="I49" s="10">
        <f t="shared" si="0"/>
        <v>46000</v>
      </c>
      <c r="J49" s="9"/>
      <c r="K49" s="9">
        <f t="shared" si="1"/>
        <v>78</v>
      </c>
      <c r="L49" s="12">
        <v>52</v>
      </c>
      <c r="M49" s="12">
        <v>64</v>
      </c>
      <c r="N49" s="12">
        <v>78</v>
      </c>
      <c r="O49" s="12">
        <v>73</v>
      </c>
      <c r="P49" s="33"/>
      <c r="Q49" s="12"/>
    </row>
    <row r="50" spans="1:20" s="8" customFormat="1" ht="15" x14ac:dyDescent="0.25">
      <c r="A50" s="9" t="s">
        <v>17</v>
      </c>
      <c r="B50" s="9">
        <v>19</v>
      </c>
      <c r="C50" s="9" t="s">
        <v>18</v>
      </c>
      <c r="D50" s="9" t="s">
        <v>82</v>
      </c>
      <c r="E50" s="9" t="s">
        <v>293</v>
      </c>
      <c r="F50" s="9" t="s">
        <v>20</v>
      </c>
      <c r="G50" s="9" t="s">
        <v>83</v>
      </c>
      <c r="H50" s="9" t="s">
        <v>75</v>
      </c>
      <c r="I50" s="10">
        <f t="shared" si="0"/>
        <v>46015</v>
      </c>
      <c r="J50" s="9"/>
      <c r="K50" s="9">
        <f t="shared" si="1"/>
        <v>90</v>
      </c>
      <c r="L50" s="12"/>
      <c r="M50" s="12"/>
      <c r="N50" s="12">
        <v>90</v>
      </c>
      <c r="O50" s="12">
        <v>90</v>
      </c>
      <c r="P50" s="33"/>
      <c r="Q50" s="12"/>
    </row>
    <row r="51" spans="1:20" s="16" customFormat="1" ht="15" x14ac:dyDescent="0.25">
      <c r="A51" s="13" t="s">
        <v>40</v>
      </c>
      <c r="B51" s="9">
        <v>19</v>
      </c>
      <c r="C51" s="9" t="s">
        <v>3</v>
      </c>
      <c r="D51" s="9" t="s">
        <v>84</v>
      </c>
      <c r="E51" s="9" t="s">
        <v>293</v>
      </c>
      <c r="F51" s="9" t="s">
        <v>20</v>
      </c>
      <c r="G51" s="9" t="s">
        <v>28</v>
      </c>
      <c r="H51" s="9" t="s">
        <v>13</v>
      </c>
      <c r="I51" s="10">
        <f t="shared" si="0"/>
        <v>45973</v>
      </c>
      <c r="J51" s="9"/>
      <c r="K51" s="9">
        <f t="shared" si="1"/>
        <v>100</v>
      </c>
      <c r="L51" s="12">
        <v>45</v>
      </c>
      <c r="M51" s="12">
        <v>60</v>
      </c>
      <c r="N51" s="12">
        <v>95</v>
      </c>
      <c r="O51" s="12">
        <v>95</v>
      </c>
      <c r="P51" s="33">
        <v>100</v>
      </c>
      <c r="Q51" s="12"/>
      <c r="R51" s="38"/>
      <c r="S51" s="38"/>
      <c r="T51" s="38"/>
    </row>
    <row r="52" spans="1:20" s="8" customFormat="1" ht="15" x14ac:dyDescent="0.25">
      <c r="A52" s="9" t="s">
        <v>45</v>
      </c>
      <c r="B52" s="9">
        <v>19</v>
      </c>
      <c r="C52" s="9" t="s">
        <v>3</v>
      </c>
      <c r="D52" s="9" t="s">
        <v>85</v>
      </c>
      <c r="E52" s="9" t="s">
        <v>293</v>
      </c>
      <c r="F52" s="9" t="s">
        <v>20</v>
      </c>
      <c r="G52" s="9" t="s">
        <v>21</v>
      </c>
      <c r="H52" s="9" t="s">
        <v>12</v>
      </c>
      <c r="I52" s="10">
        <f t="shared" si="0"/>
        <v>45958</v>
      </c>
      <c r="J52" s="9"/>
      <c r="K52" s="9">
        <f t="shared" si="1"/>
        <v>0</v>
      </c>
      <c r="L52" s="12">
        <v>0</v>
      </c>
      <c r="M52" s="12">
        <v>0</v>
      </c>
      <c r="N52" s="12">
        <v>0</v>
      </c>
      <c r="O52" s="12">
        <v>0</v>
      </c>
      <c r="P52" s="33"/>
      <c r="Q52" s="12"/>
    </row>
    <row r="53" spans="1:20" s="8" customFormat="1" ht="15" x14ac:dyDescent="0.25">
      <c r="A53" s="9" t="s">
        <v>42</v>
      </c>
      <c r="B53" s="9">
        <v>19</v>
      </c>
      <c r="C53" s="9" t="s">
        <v>3</v>
      </c>
      <c r="D53" s="9" t="s">
        <v>86</v>
      </c>
      <c r="E53" s="9" t="s">
        <v>293</v>
      </c>
      <c r="F53" s="9" t="s">
        <v>20</v>
      </c>
      <c r="G53" s="9" t="s">
        <v>21</v>
      </c>
      <c r="H53" s="9" t="s">
        <v>75</v>
      </c>
      <c r="I53" s="10">
        <f t="shared" si="0"/>
        <v>46015</v>
      </c>
      <c r="J53" s="9"/>
      <c r="K53" s="9">
        <f t="shared" si="1"/>
        <v>0</v>
      </c>
      <c r="L53" s="12"/>
      <c r="M53" s="12"/>
      <c r="N53" s="12"/>
      <c r="O53" s="12"/>
      <c r="P53" s="33"/>
      <c r="Q53" s="12"/>
    </row>
    <row r="54" spans="1:20" s="8" customFormat="1" ht="15" x14ac:dyDescent="0.25">
      <c r="A54" s="9" t="s">
        <v>45</v>
      </c>
      <c r="B54" s="9">
        <v>19</v>
      </c>
      <c r="C54" s="9" t="s">
        <v>3</v>
      </c>
      <c r="D54" s="9" t="s">
        <v>87</v>
      </c>
      <c r="E54" s="9" t="s">
        <v>293</v>
      </c>
      <c r="F54" s="9" t="s">
        <v>20</v>
      </c>
      <c r="G54" s="9" t="s">
        <v>37</v>
      </c>
      <c r="H54" s="9" t="s">
        <v>14</v>
      </c>
      <c r="I54" s="10">
        <f t="shared" si="0"/>
        <v>45986</v>
      </c>
      <c r="J54" s="9"/>
      <c r="K54" s="9">
        <f t="shared" si="1"/>
        <v>75</v>
      </c>
      <c r="L54" s="12">
        <v>20</v>
      </c>
      <c r="M54" s="12">
        <v>50</v>
      </c>
      <c r="N54" s="12">
        <v>65</v>
      </c>
      <c r="O54" s="12">
        <v>75</v>
      </c>
      <c r="P54" s="33"/>
      <c r="Q54" s="12"/>
    </row>
    <row r="55" spans="1:20" s="8" customFormat="1" ht="15" x14ac:dyDescent="0.25">
      <c r="A55" s="9" t="s">
        <v>42</v>
      </c>
      <c r="B55" s="9">
        <v>19</v>
      </c>
      <c r="C55" s="9" t="s">
        <v>3</v>
      </c>
      <c r="D55" s="9" t="s">
        <v>88</v>
      </c>
      <c r="E55" s="9" t="s">
        <v>293</v>
      </c>
      <c r="F55" s="9" t="s">
        <v>20</v>
      </c>
      <c r="G55" s="9" t="s">
        <v>28</v>
      </c>
      <c r="H55" s="9" t="s">
        <v>75</v>
      </c>
      <c r="I55" s="10">
        <f>IF(H55="S1",DATE(2025,10,14),IF(H55="S2",DATE(2025,10,28),IF(H55="S3",DATE(2025,11,12),IF(H55="S4",DATE(2025,11,25),IF(H55="S5",DATE(2025,12,9),IF(H55="S6",DATE(2025,12,24),IF(H55="S6",DATE(2025,12,24),IF(H55="IP",DATE(2025,12,24),IF(H55="UNC",DATE(2025,12,24),"")))))))))</f>
        <v>46015</v>
      </c>
      <c r="J55" s="9"/>
      <c r="K55" s="9">
        <f>MAX(L55:Q55)</f>
        <v>47</v>
      </c>
      <c r="L55" s="12">
        <v>30</v>
      </c>
      <c r="M55" s="12">
        <v>40</v>
      </c>
      <c r="N55" s="12">
        <v>45</v>
      </c>
      <c r="O55" s="12">
        <v>47</v>
      </c>
      <c r="P55" s="33"/>
      <c r="Q55" s="12"/>
    </row>
    <row r="56" spans="1:20" s="8" customFormat="1" ht="15" x14ac:dyDescent="0.25">
      <c r="A56" s="9" t="s">
        <v>76</v>
      </c>
      <c r="B56" s="9">
        <v>19</v>
      </c>
      <c r="C56" s="9" t="s">
        <v>3</v>
      </c>
      <c r="D56" s="9" t="s">
        <v>89</v>
      </c>
      <c r="E56" s="9" t="s">
        <v>293</v>
      </c>
      <c r="F56" s="9" t="s">
        <v>20</v>
      </c>
      <c r="G56" s="9" t="s">
        <v>21</v>
      </c>
      <c r="H56" s="9" t="s">
        <v>15</v>
      </c>
      <c r="I56" s="10">
        <f t="shared" si="0"/>
        <v>46000</v>
      </c>
      <c r="J56" s="9"/>
      <c r="K56" s="9">
        <f t="shared" si="1"/>
        <v>75</v>
      </c>
      <c r="L56" s="12">
        <v>0</v>
      </c>
      <c r="M56" s="12">
        <v>0</v>
      </c>
      <c r="N56" s="12">
        <v>12</v>
      </c>
      <c r="O56" s="12">
        <v>75</v>
      </c>
      <c r="P56" s="33"/>
      <c r="Q56" s="12"/>
    </row>
    <row r="57" spans="1:20" s="16" customFormat="1" ht="15" x14ac:dyDescent="0.25">
      <c r="A57" s="13" t="s">
        <v>40</v>
      </c>
      <c r="B57" s="9">
        <v>20</v>
      </c>
      <c r="C57" s="9" t="s">
        <v>3</v>
      </c>
      <c r="D57" s="9" t="s">
        <v>90</v>
      </c>
      <c r="E57" s="9" t="s">
        <v>291</v>
      </c>
      <c r="F57" s="9" t="s">
        <v>20</v>
      </c>
      <c r="G57" s="9" t="s">
        <v>28</v>
      </c>
      <c r="H57" s="9" t="s">
        <v>25</v>
      </c>
      <c r="I57" s="10">
        <f t="shared" si="0"/>
        <v>46015</v>
      </c>
      <c r="J57" s="9"/>
      <c r="K57" s="9">
        <f t="shared" si="1"/>
        <v>0</v>
      </c>
      <c r="L57" s="12">
        <v>0</v>
      </c>
      <c r="M57" s="12">
        <v>0</v>
      </c>
      <c r="N57" s="12">
        <v>0</v>
      </c>
      <c r="O57" s="12">
        <v>0</v>
      </c>
      <c r="P57" s="33"/>
      <c r="Q57" s="12"/>
    </row>
    <row r="58" spans="1:20" s="16" customFormat="1" ht="15" x14ac:dyDescent="0.25">
      <c r="A58" s="13" t="s">
        <v>40</v>
      </c>
      <c r="B58" s="9">
        <v>20</v>
      </c>
      <c r="C58" s="9" t="s">
        <v>3</v>
      </c>
      <c r="D58" s="9" t="s">
        <v>91</v>
      </c>
      <c r="E58" s="9" t="s">
        <v>291</v>
      </c>
      <c r="F58" s="9" t="s">
        <v>20</v>
      </c>
      <c r="G58" s="9" t="s">
        <v>28</v>
      </c>
      <c r="H58" s="9" t="s">
        <v>25</v>
      </c>
      <c r="I58" s="10">
        <f t="shared" si="0"/>
        <v>46015</v>
      </c>
      <c r="J58" s="9"/>
      <c r="K58" s="9">
        <f t="shared" si="1"/>
        <v>10</v>
      </c>
      <c r="L58" s="12">
        <v>0</v>
      </c>
      <c r="M58" s="12">
        <v>0</v>
      </c>
      <c r="N58" s="12">
        <v>0</v>
      </c>
      <c r="O58" s="12">
        <v>10</v>
      </c>
      <c r="P58" s="33"/>
      <c r="Q58" s="12"/>
    </row>
    <row r="59" spans="1:20" s="8" customFormat="1" ht="15" x14ac:dyDescent="0.25">
      <c r="A59" s="9" t="s">
        <v>42</v>
      </c>
      <c r="B59" s="9">
        <v>21</v>
      </c>
      <c r="C59" s="9" t="s">
        <v>3</v>
      </c>
      <c r="D59" s="9" t="s">
        <v>92</v>
      </c>
      <c r="E59" s="9" t="s">
        <v>297</v>
      </c>
      <c r="F59" s="9" t="s">
        <v>20</v>
      </c>
      <c r="G59" s="9" t="s">
        <v>21</v>
      </c>
      <c r="H59" s="9" t="s">
        <v>15</v>
      </c>
      <c r="I59" s="10">
        <f t="shared" si="0"/>
        <v>46000</v>
      </c>
      <c r="J59" s="9"/>
      <c r="K59" s="9">
        <f t="shared" si="1"/>
        <v>0</v>
      </c>
      <c r="L59" s="12"/>
      <c r="M59" s="12"/>
      <c r="N59" s="12"/>
      <c r="O59" s="12"/>
      <c r="P59" s="33"/>
      <c r="Q59" s="12"/>
    </row>
    <row r="60" spans="1:20" s="8" customFormat="1" ht="15" x14ac:dyDescent="0.25">
      <c r="A60" s="9" t="s">
        <v>76</v>
      </c>
      <c r="B60" s="9">
        <v>21</v>
      </c>
      <c r="C60" s="9" t="s">
        <v>3</v>
      </c>
      <c r="D60" s="9" t="s">
        <v>93</v>
      </c>
      <c r="E60" s="9" t="s">
        <v>297</v>
      </c>
      <c r="F60" s="9" t="s">
        <v>20</v>
      </c>
      <c r="G60" s="9" t="s">
        <v>21</v>
      </c>
      <c r="H60" s="9" t="s">
        <v>15</v>
      </c>
      <c r="I60" s="10">
        <f t="shared" si="0"/>
        <v>46000</v>
      </c>
      <c r="J60" s="9"/>
      <c r="K60" s="9">
        <f t="shared" si="1"/>
        <v>33</v>
      </c>
      <c r="L60" s="12">
        <v>33</v>
      </c>
      <c r="M60" s="12">
        <v>33</v>
      </c>
      <c r="N60" s="12">
        <v>33</v>
      </c>
      <c r="O60" s="12">
        <v>33</v>
      </c>
      <c r="P60" s="33"/>
      <c r="Q60" s="12"/>
    </row>
    <row r="61" spans="1:20" s="8" customFormat="1" ht="15" x14ac:dyDescent="0.25">
      <c r="A61" s="9" t="s">
        <v>42</v>
      </c>
      <c r="B61" s="9">
        <v>22</v>
      </c>
      <c r="C61" s="9" t="s">
        <v>3</v>
      </c>
      <c r="D61" s="9" t="s">
        <v>94</v>
      </c>
      <c r="E61" s="9" t="s">
        <v>297</v>
      </c>
      <c r="F61" s="9" t="s">
        <v>20</v>
      </c>
      <c r="G61" s="9" t="s">
        <v>21</v>
      </c>
      <c r="H61" s="9" t="s">
        <v>15</v>
      </c>
      <c r="I61" s="10">
        <f t="shared" si="0"/>
        <v>46000</v>
      </c>
      <c r="J61" s="9"/>
      <c r="K61" s="9">
        <f t="shared" si="1"/>
        <v>0</v>
      </c>
      <c r="L61" s="12"/>
      <c r="M61" s="12"/>
      <c r="N61" s="12"/>
      <c r="O61" s="12"/>
      <c r="P61" s="33"/>
      <c r="Q61" s="12"/>
    </row>
    <row r="62" spans="1:20" s="8" customFormat="1" ht="15" x14ac:dyDescent="0.25">
      <c r="A62" s="9" t="s">
        <v>76</v>
      </c>
      <c r="B62" s="9">
        <v>22</v>
      </c>
      <c r="C62" s="9" t="s">
        <v>3</v>
      </c>
      <c r="D62" s="9" t="s">
        <v>95</v>
      </c>
      <c r="E62" s="9" t="s">
        <v>297</v>
      </c>
      <c r="F62" s="9" t="s">
        <v>20</v>
      </c>
      <c r="G62" s="9" t="s">
        <v>21</v>
      </c>
      <c r="H62" s="9" t="s">
        <v>75</v>
      </c>
      <c r="I62" s="10">
        <f t="shared" si="0"/>
        <v>46015</v>
      </c>
      <c r="J62" s="9"/>
      <c r="K62" s="9">
        <f t="shared" si="1"/>
        <v>62</v>
      </c>
      <c r="L62" s="12">
        <v>14</v>
      </c>
      <c r="M62" s="12">
        <v>37</v>
      </c>
      <c r="N62" s="12">
        <v>37</v>
      </c>
      <c r="O62" s="12">
        <v>62</v>
      </c>
      <c r="P62" s="33"/>
      <c r="Q62" s="12"/>
    </row>
    <row r="63" spans="1:20" s="16" customFormat="1" ht="15" x14ac:dyDescent="0.25">
      <c r="A63" s="13" t="s">
        <v>40</v>
      </c>
      <c r="B63" s="9">
        <v>26</v>
      </c>
      <c r="C63" s="9" t="s">
        <v>3</v>
      </c>
      <c r="D63" s="9" t="s">
        <v>96</v>
      </c>
      <c r="E63" s="9" t="s">
        <v>291</v>
      </c>
      <c r="F63" s="9" t="s">
        <v>20</v>
      </c>
      <c r="G63" s="9" t="s">
        <v>21</v>
      </c>
      <c r="H63" s="9" t="s">
        <v>70</v>
      </c>
      <c r="I63" s="10">
        <f t="shared" si="0"/>
        <v>46015</v>
      </c>
      <c r="J63" s="9"/>
      <c r="K63" s="9">
        <f t="shared" si="1"/>
        <v>0</v>
      </c>
      <c r="L63" s="12">
        <v>0</v>
      </c>
      <c r="M63" s="12">
        <v>0</v>
      </c>
      <c r="N63" s="12">
        <v>0</v>
      </c>
      <c r="O63" s="12">
        <v>0</v>
      </c>
      <c r="P63" s="33"/>
      <c r="Q63" s="12"/>
    </row>
    <row r="64" spans="1:20" s="16" customFormat="1" ht="15" x14ac:dyDescent="0.25">
      <c r="A64" s="13" t="s">
        <v>40</v>
      </c>
      <c r="B64" s="9">
        <v>28</v>
      </c>
      <c r="C64" s="9" t="s">
        <v>3</v>
      </c>
      <c r="D64" s="9" t="s">
        <v>97</v>
      </c>
      <c r="E64" s="13" t="s">
        <v>293</v>
      </c>
      <c r="F64" s="9" t="s">
        <v>20</v>
      </c>
      <c r="G64" s="9" t="s">
        <v>37</v>
      </c>
      <c r="H64" s="9" t="s">
        <v>13</v>
      </c>
      <c r="I64" s="10">
        <f t="shared" si="0"/>
        <v>45973</v>
      </c>
      <c r="J64" s="9"/>
      <c r="K64" s="9">
        <f t="shared" si="1"/>
        <v>40</v>
      </c>
      <c r="L64" s="12">
        <v>0</v>
      </c>
      <c r="M64" s="12">
        <v>0</v>
      </c>
      <c r="N64" s="12">
        <v>20</v>
      </c>
      <c r="O64" s="12">
        <v>40</v>
      </c>
      <c r="P64" s="33"/>
      <c r="Q64" s="12"/>
    </row>
    <row r="65" spans="1:20" s="16" customFormat="1" ht="15" x14ac:dyDescent="0.25">
      <c r="A65" s="13" t="s">
        <v>40</v>
      </c>
      <c r="B65" s="9">
        <v>28</v>
      </c>
      <c r="C65" s="9" t="s">
        <v>3</v>
      </c>
      <c r="D65" s="9" t="s">
        <v>98</v>
      </c>
      <c r="E65" s="13" t="s">
        <v>293</v>
      </c>
      <c r="F65" s="9" t="s">
        <v>20</v>
      </c>
      <c r="G65" s="9" t="s">
        <v>21</v>
      </c>
      <c r="H65" s="9" t="s">
        <v>70</v>
      </c>
      <c r="I65" s="10">
        <f t="shared" si="0"/>
        <v>46015</v>
      </c>
      <c r="J65" s="9"/>
      <c r="K65" s="9">
        <f t="shared" si="1"/>
        <v>0</v>
      </c>
      <c r="L65" s="12">
        <v>0</v>
      </c>
      <c r="M65" s="12">
        <v>0</v>
      </c>
      <c r="N65" s="12">
        <v>0</v>
      </c>
      <c r="O65" s="12">
        <v>0</v>
      </c>
      <c r="P65" s="33"/>
      <c r="Q65" s="12"/>
    </row>
    <row r="66" spans="1:20" s="16" customFormat="1" ht="15" x14ac:dyDescent="0.25">
      <c r="A66" s="13" t="s">
        <v>40</v>
      </c>
      <c r="B66" s="9">
        <v>29</v>
      </c>
      <c r="C66" s="9" t="s">
        <v>3</v>
      </c>
      <c r="D66" s="9" t="s">
        <v>99</v>
      </c>
      <c r="E66" s="13" t="s">
        <v>293</v>
      </c>
      <c r="F66" s="9" t="s">
        <v>20</v>
      </c>
      <c r="G66" s="9" t="s">
        <v>21</v>
      </c>
      <c r="H66" s="9" t="s">
        <v>14</v>
      </c>
      <c r="I66" s="10">
        <f t="shared" si="0"/>
        <v>45986</v>
      </c>
      <c r="J66" s="9"/>
      <c r="K66" s="9">
        <f t="shared" si="1"/>
        <v>100</v>
      </c>
      <c r="L66" s="12">
        <v>80</v>
      </c>
      <c r="M66" s="12">
        <v>0</v>
      </c>
      <c r="N66" s="12">
        <v>0</v>
      </c>
      <c r="O66" s="12">
        <v>60</v>
      </c>
      <c r="P66" s="33">
        <v>100</v>
      </c>
      <c r="Q66" s="12"/>
      <c r="R66" s="38"/>
      <c r="S66" s="38"/>
      <c r="T66" s="38"/>
    </row>
    <row r="67" spans="1:20" s="16" customFormat="1" ht="15" x14ac:dyDescent="0.25">
      <c r="A67" s="13" t="s">
        <v>40</v>
      </c>
      <c r="B67" s="9">
        <v>29</v>
      </c>
      <c r="C67" s="9" t="s">
        <v>3</v>
      </c>
      <c r="D67" s="9" t="s">
        <v>100</v>
      </c>
      <c r="E67" s="13" t="s">
        <v>293</v>
      </c>
      <c r="F67" s="9" t="s">
        <v>20</v>
      </c>
      <c r="G67" s="9" t="s">
        <v>21</v>
      </c>
      <c r="H67" s="9" t="s">
        <v>70</v>
      </c>
      <c r="I67" s="10">
        <f t="shared" ref="I67:I130" si="2">IF(H67="S1",DATE(2025,10,14),IF(H67="S2",DATE(2025,10,28),IF(H67="S3",DATE(2025,11,12),IF(H67="S4",DATE(2025,11,25),IF(H67="S5",DATE(2025,12,9),IF(H67="S6",DATE(2025,12,24),IF(H67="S6",DATE(2025,12,24),IF(H67="IP",DATE(2025,12,24),IF(H67="UNC",DATE(2025,12,24),"")))))))))</f>
        <v>46015</v>
      </c>
      <c r="J67" s="9"/>
      <c r="K67" s="9">
        <f t="shared" ref="K67:K130" si="3">MAX(L67:Q67)</f>
        <v>20</v>
      </c>
      <c r="L67" s="12">
        <v>20</v>
      </c>
      <c r="M67" s="12">
        <v>0</v>
      </c>
      <c r="N67" s="12">
        <v>0</v>
      </c>
      <c r="O67" s="12">
        <v>20</v>
      </c>
      <c r="P67" s="33"/>
      <c r="Q67" s="12"/>
    </row>
    <row r="68" spans="1:20" s="8" customFormat="1" ht="15" x14ac:dyDescent="0.25">
      <c r="A68" s="9" t="s">
        <v>29</v>
      </c>
      <c r="B68" s="9">
        <v>30</v>
      </c>
      <c r="C68" s="9" t="s">
        <v>18</v>
      </c>
      <c r="D68" s="9" t="s">
        <v>101</v>
      </c>
      <c r="E68" s="9" t="s">
        <v>292</v>
      </c>
      <c r="F68" s="9" t="s">
        <v>20</v>
      </c>
      <c r="G68" s="9" t="s">
        <v>28</v>
      </c>
      <c r="H68" s="9" t="s">
        <v>75</v>
      </c>
      <c r="I68" s="10">
        <f t="shared" si="2"/>
        <v>46015</v>
      </c>
      <c r="J68" s="9"/>
      <c r="K68" s="9">
        <f t="shared" si="3"/>
        <v>50</v>
      </c>
      <c r="L68" s="12">
        <v>50</v>
      </c>
      <c r="M68" s="12">
        <v>50</v>
      </c>
      <c r="N68" s="12">
        <v>50</v>
      </c>
      <c r="O68" s="12">
        <v>50</v>
      </c>
      <c r="P68" s="33"/>
      <c r="Q68" s="12"/>
    </row>
    <row r="69" spans="1:20" s="16" customFormat="1" ht="15" x14ac:dyDescent="0.25">
      <c r="A69" s="13" t="s">
        <v>40</v>
      </c>
      <c r="B69" s="9">
        <v>31</v>
      </c>
      <c r="C69" s="9" t="s">
        <v>3</v>
      </c>
      <c r="D69" s="9" t="s">
        <v>102</v>
      </c>
      <c r="E69" s="9" t="s">
        <v>291</v>
      </c>
      <c r="F69" s="9" t="s">
        <v>20</v>
      </c>
      <c r="G69" s="9" t="s">
        <v>21</v>
      </c>
      <c r="H69" s="9" t="s">
        <v>11</v>
      </c>
      <c r="I69" s="10">
        <f t="shared" si="2"/>
        <v>45944</v>
      </c>
      <c r="J69" s="9"/>
      <c r="K69" s="9">
        <f t="shared" si="3"/>
        <v>100</v>
      </c>
      <c r="L69" s="12">
        <v>60</v>
      </c>
      <c r="M69" s="12">
        <v>70</v>
      </c>
      <c r="N69" s="12">
        <v>80</v>
      </c>
      <c r="O69" s="12">
        <v>80</v>
      </c>
      <c r="P69" s="33">
        <v>100</v>
      </c>
      <c r="Q69" s="12"/>
      <c r="R69" s="38"/>
      <c r="S69" s="38"/>
      <c r="T69" s="38"/>
    </row>
    <row r="70" spans="1:20" s="16" customFormat="1" ht="15" x14ac:dyDescent="0.25">
      <c r="A70" s="13" t="s">
        <v>40</v>
      </c>
      <c r="B70" s="9">
        <v>31</v>
      </c>
      <c r="C70" s="9" t="s">
        <v>3</v>
      </c>
      <c r="D70" s="9" t="s">
        <v>103</v>
      </c>
      <c r="E70" s="9" t="s">
        <v>291</v>
      </c>
      <c r="F70" s="9" t="s">
        <v>20</v>
      </c>
      <c r="G70" s="9" t="s">
        <v>21</v>
      </c>
      <c r="H70" s="9" t="s">
        <v>15</v>
      </c>
      <c r="I70" s="10">
        <f t="shared" si="2"/>
        <v>46000</v>
      </c>
      <c r="J70" s="9"/>
      <c r="K70" s="9">
        <f t="shared" si="3"/>
        <v>40</v>
      </c>
      <c r="L70" s="12">
        <v>0</v>
      </c>
      <c r="M70" s="12">
        <v>10</v>
      </c>
      <c r="N70" s="12">
        <v>30</v>
      </c>
      <c r="O70" s="12">
        <v>40</v>
      </c>
      <c r="P70" s="33"/>
      <c r="Q70" s="12"/>
    </row>
    <row r="71" spans="1:20" s="16" customFormat="1" ht="15" x14ac:dyDescent="0.25">
      <c r="A71" s="13" t="s">
        <v>40</v>
      </c>
      <c r="B71" s="9">
        <v>31</v>
      </c>
      <c r="C71" s="9" t="s">
        <v>3</v>
      </c>
      <c r="D71" s="9" t="s">
        <v>104</v>
      </c>
      <c r="E71" s="9" t="s">
        <v>291</v>
      </c>
      <c r="F71" s="9" t="s">
        <v>20</v>
      </c>
      <c r="G71" s="9" t="s">
        <v>21</v>
      </c>
      <c r="H71" s="9" t="s">
        <v>12</v>
      </c>
      <c r="I71" s="10">
        <f t="shared" si="2"/>
        <v>45958</v>
      </c>
      <c r="J71" s="9"/>
      <c r="K71" s="9">
        <f t="shared" si="3"/>
        <v>60</v>
      </c>
      <c r="L71" s="12">
        <v>0</v>
      </c>
      <c r="M71" s="12">
        <v>20</v>
      </c>
      <c r="N71" s="12">
        <v>45</v>
      </c>
      <c r="O71" s="12">
        <v>60</v>
      </c>
      <c r="P71" s="33"/>
      <c r="Q71" s="12"/>
    </row>
    <row r="72" spans="1:20" s="16" customFormat="1" ht="15" x14ac:dyDescent="0.25">
      <c r="A72" s="13" t="s">
        <v>40</v>
      </c>
      <c r="B72" s="9">
        <v>31</v>
      </c>
      <c r="C72" s="9" t="s">
        <v>3</v>
      </c>
      <c r="D72" s="9" t="s">
        <v>105</v>
      </c>
      <c r="E72" s="9" t="s">
        <v>291</v>
      </c>
      <c r="F72" s="9" t="s">
        <v>20</v>
      </c>
      <c r="G72" s="9" t="s">
        <v>21</v>
      </c>
      <c r="H72" s="9" t="s">
        <v>70</v>
      </c>
      <c r="I72" s="10">
        <f t="shared" si="2"/>
        <v>46015</v>
      </c>
      <c r="J72" s="9"/>
      <c r="K72" s="9">
        <f t="shared" si="3"/>
        <v>10</v>
      </c>
      <c r="L72" s="12">
        <v>0</v>
      </c>
      <c r="M72" s="12">
        <v>0</v>
      </c>
      <c r="N72" s="12">
        <v>0</v>
      </c>
      <c r="O72" s="12">
        <v>10</v>
      </c>
      <c r="P72" s="33"/>
      <c r="Q72" s="12"/>
    </row>
    <row r="73" spans="1:20" s="16" customFormat="1" ht="15" x14ac:dyDescent="0.25">
      <c r="A73" s="13" t="s">
        <v>40</v>
      </c>
      <c r="B73" s="9">
        <v>31</v>
      </c>
      <c r="C73" s="9" t="s">
        <v>3</v>
      </c>
      <c r="D73" s="9" t="s">
        <v>106</v>
      </c>
      <c r="E73" s="9" t="s">
        <v>291</v>
      </c>
      <c r="F73" s="9" t="s">
        <v>20</v>
      </c>
      <c r="G73" s="9" t="s">
        <v>21</v>
      </c>
      <c r="H73" s="9" t="s">
        <v>70</v>
      </c>
      <c r="I73" s="10">
        <f t="shared" si="2"/>
        <v>46015</v>
      </c>
      <c r="J73" s="9"/>
      <c r="K73" s="9">
        <f t="shared" si="3"/>
        <v>0</v>
      </c>
      <c r="L73" s="12">
        <v>0</v>
      </c>
      <c r="M73" s="12">
        <v>0</v>
      </c>
      <c r="N73" s="12">
        <v>0</v>
      </c>
      <c r="O73" s="12">
        <v>0</v>
      </c>
      <c r="P73" s="33"/>
      <c r="Q73" s="12"/>
    </row>
    <row r="74" spans="1:20" s="8" customFormat="1" ht="15" x14ac:dyDescent="0.25">
      <c r="A74" s="9" t="s">
        <v>29</v>
      </c>
      <c r="B74" s="9">
        <v>33</v>
      </c>
      <c r="C74" s="9" t="s">
        <v>18</v>
      </c>
      <c r="D74" s="9" t="s">
        <v>107</v>
      </c>
      <c r="E74" s="9" t="s">
        <v>298</v>
      </c>
      <c r="F74" s="9" t="s">
        <v>20</v>
      </c>
      <c r="G74" s="9" t="s">
        <v>21</v>
      </c>
      <c r="H74" s="9" t="s">
        <v>12</v>
      </c>
      <c r="I74" s="10">
        <f t="shared" si="2"/>
        <v>45958</v>
      </c>
      <c r="J74" s="9"/>
      <c r="K74" s="9">
        <f t="shared" si="3"/>
        <v>95</v>
      </c>
      <c r="L74" s="12">
        <v>50</v>
      </c>
      <c r="M74" s="12">
        <v>50</v>
      </c>
      <c r="N74" s="12">
        <v>85</v>
      </c>
      <c r="O74" s="12">
        <v>95</v>
      </c>
      <c r="P74" s="33"/>
      <c r="Q74" s="12"/>
    </row>
    <row r="75" spans="1:20" s="8" customFormat="1" ht="15" x14ac:dyDescent="0.25">
      <c r="A75" s="9" t="s">
        <v>29</v>
      </c>
      <c r="B75" s="9">
        <v>33</v>
      </c>
      <c r="C75" s="9" t="s">
        <v>18</v>
      </c>
      <c r="D75" s="9" t="s">
        <v>108</v>
      </c>
      <c r="E75" s="9" t="s">
        <v>298</v>
      </c>
      <c r="F75" s="9" t="s">
        <v>20</v>
      </c>
      <c r="G75" s="9" t="s">
        <v>21</v>
      </c>
      <c r="H75" s="9" t="s">
        <v>12</v>
      </c>
      <c r="I75" s="10">
        <f t="shared" si="2"/>
        <v>45958</v>
      </c>
      <c r="J75" s="9"/>
      <c r="K75" s="9">
        <f t="shared" si="3"/>
        <v>95</v>
      </c>
      <c r="L75" s="12">
        <v>50</v>
      </c>
      <c r="M75" s="12">
        <v>50</v>
      </c>
      <c r="N75" s="12">
        <v>85</v>
      </c>
      <c r="O75" s="12">
        <v>95</v>
      </c>
      <c r="P75" s="33"/>
      <c r="Q75" s="12"/>
    </row>
    <row r="76" spans="1:20" s="8" customFormat="1" ht="15" x14ac:dyDescent="0.25">
      <c r="A76" s="9" t="s">
        <v>29</v>
      </c>
      <c r="B76" s="9">
        <v>33</v>
      </c>
      <c r="C76" s="9" t="s">
        <v>18</v>
      </c>
      <c r="D76" s="9" t="s">
        <v>109</v>
      </c>
      <c r="E76" s="9" t="s">
        <v>298</v>
      </c>
      <c r="F76" s="9" t="s">
        <v>20</v>
      </c>
      <c r="G76" s="9" t="s">
        <v>21</v>
      </c>
      <c r="H76" s="9" t="s">
        <v>15</v>
      </c>
      <c r="I76" s="10">
        <f t="shared" si="2"/>
        <v>46000</v>
      </c>
      <c r="J76" s="9"/>
      <c r="K76" s="9">
        <f t="shared" si="3"/>
        <v>95</v>
      </c>
      <c r="L76" s="12"/>
      <c r="M76" s="12"/>
      <c r="N76" s="12">
        <v>85</v>
      </c>
      <c r="O76" s="12">
        <v>95</v>
      </c>
      <c r="P76" s="33"/>
      <c r="Q76" s="12"/>
    </row>
    <row r="77" spans="1:20" s="8" customFormat="1" ht="15" x14ac:dyDescent="0.25">
      <c r="A77" s="9" t="s">
        <v>29</v>
      </c>
      <c r="B77" s="9">
        <v>33</v>
      </c>
      <c r="C77" s="9" t="s">
        <v>18</v>
      </c>
      <c r="D77" s="9" t="s">
        <v>110</v>
      </c>
      <c r="E77" s="9" t="s">
        <v>298</v>
      </c>
      <c r="F77" s="9" t="s">
        <v>20</v>
      </c>
      <c r="G77" s="9" t="s">
        <v>21</v>
      </c>
      <c r="H77" s="9" t="s">
        <v>15</v>
      </c>
      <c r="I77" s="10">
        <f t="shared" si="2"/>
        <v>46000</v>
      </c>
      <c r="J77" s="9"/>
      <c r="K77" s="9">
        <f t="shared" si="3"/>
        <v>95</v>
      </c>
      <c r="L77" s="12"/>
      <c r="M77" s="12"/>
      <c r="N77" s="12">
        <v>85</v>
      </c>
      <c r="O77" s="12">
        <v>95</v>
      </c>
      <c r="P77" s="33"/>
      <c r="Q77" s="12"/>
    </row>
    <row r="78" spans="1:20" s="8" customFormat="1" ht="15" x14ac:dyDescent="0.25">
      <c r="A78" s="9" t="s">
        <v>29</v>
      </c>
      <c r="B78" s="9">
        <v>33</v>
      </c>
      <c r="C78" s="9" t="s">
        <v>18</v>
      </c>
      <c r="D78" s="9" t="s">
        <v>111</v>
      </c>
      <c r="E78" s="9" t="s">
        <v>298</v>
      </c>
      <c r="F78" s="9" t="s">
        <v>20</v>
      </c>
      <c r="G78" s="9" t="s">
        <v>21</v>
      </c>
      <c r="H78" s="9" t="s">
        <v>15</v>
      </c>
      <c r="I78" s="10">
        <f t="shared" si="2"/>
        <v>46000</v>
      </c>
      <c r="J78" s="9"/>
      <c r="K78" s="9">
        <f t="shared" si="3"/>
        <v>80</v>
      </c>
      <c r="L78" s="12"/>
      <c r="M78" s="12"/>
      <c r="N78" s="12"/>
      <c r="O78" s="12">
        <v>80</v>
      </c>
      <c r="P78" s="33"/>
      <c r="Q78" s="12"/>
    </row>
    <row r="79" spans="1:20" s="8" customFormat="1" ht="15" x14ac:dyDescent="0.25">
      <c r="A79" s="9" t="s">
        <v>29</v>
      </c>
      <c r="B79" s="9">
        <v>33</v>
      </c>
      <c r="C79" s="9" t="s">
        <v>18</v>
      </c>
      <c r="D79" s="9" t="s">
        <v>112</v>
      </c>
      <c r="E79" s="9" t="s">
        <v>298</v>
      </c>
      <c r="F79" s="9" t="s">
        <v>20</v>
      </c>
      <c r="G79" s="9" t="s">
        <v>21</v>
      </c>
      <c r="H79" s="9" t="s">
        <v>75</v>
      </c>
      <c r="I79" s="10">
        <f t="shared" si="2"/>
        <v>46015</v>
      </c>
      <c r="J79" s="9"/>
      <c r="K79" s="9">
        <f t="shared" si="3"/>
        <v>0</v>
      </c>
      <c r="L79" s="12"/>
      <c r="M79" s="12"/>
      <c r="N79" s="12"/>
      <c r="O79" s="12"/>
      <c r="P79" s="33"/>
      <c r="Q79" s="12"/>
    </row>
    <row r="80" spans="1:20" s="8" customFormat="1" ht="15" x14ac:dyDescent="0.25">
      <c r="A80" s="9" t="s">
        <v>29</v>
      </c>
      <c r="B80" s="9">
        <v>33</v>
      </c>
      <c r="C80" s="9" t="s">
        <v>18</v>
      </c>
      <c r="D80" s="9" t="s">
        <v>113</v>
      </c>
      <c r="E80" s="9" t="s">
        <v>298</v>
      </c>
      <c r="F80" s="9" t="s">
        <v>20</v>
      </c>
      <c r="G80" s="9" t="s">
        <v>21</v>
      </c>
      <c r="H80" s="9" t="s">
        <v>75</v>
      </c>
      <c r="I80" s="10">
        <f t="shared" si="2"/>
        <v>46015</v>
      </c>
      <c r="J80" s="9"/>
      <c r="K80" s="9">
        <f t="shared" si="3"/>
        <v>0</v>
      </c>
      <c r="L80" s="12"/>
      <c r="M80" s="12"/>
      <c r="N80" s="12"/>
      <c r="O80" s="12"/>
      <c r="P80" s="33"/>
      <c r="Q80" s="12"/>
    </row>
    <row r="81" spans="1:20" s="8" customFormat="1" ht="15" x14ac:dyDescent="0.25">
      <c r="A81" s="9" t="s">
        <v>29</v>
      </c>
      <c r="B81" s="9">
        <v>33</v>
      </c>
      <c r="C81" s="9" t="s">
        <v>18</v>
      </c>
      <c r="D81" s="9" t="s">
        <v>114</v>
      </c>
      <c r="E81" s="9" t="s">
        <v>298</v>
      </c>
      <c r="F81" s="9" t="s">
        <v>20</v>
      </c>
      <c r="G81" s="9" t="s">
        <v>21</v>
      </c>
      <c r="H81" s="9" t="s">
        <v>75</v>
      </c>
      <c r="I81" s="10">
        <f t="shared" si="2"/>
        <v>46015</v>
      </c>
      <c r="J81" s="9"/>
      <c r="K81" s="9">
        <f t="shared" si="3"/>
        <v>0</v>
      </c>
      <c r="L81" s="12"/>
      <c r="M81" s="12"/>
      <c r="N81" s="12"/>
      <c r="O81" s="12"/>
      <c r="P81" s="33"/>
      <c r="Q81" s="12"/>
    </row>
    <row r="82" spans="1:20" s="16" customFormat="1" ht="15" x14ac:dyDescent="0.25">
      <c r="A82" s="13" t="s">
        <v>40</v>
      </c>
      <c r="B82" s="9">
        <v>36</v>
      </c>
      <c r="C82" s="9" t="s">
        <v>3</v>
      </c>
      <c r="D82" s="9" t="s">
        <v>115</v>
      </c>
      <c r="E82" s="13" t="s">
        <v>292</v>
      </c>
      <c r="F82" s="9" t="s">
        <v>20</v>
      </c>
      <c r="G82" s="9" t="s">
        <v>59</v>
      </c>
      <c r="H82" s="9" t="s">
        <v>12</v>
      </c>
      <c r="I82" s="10">
        <f t="shared" si="2"/>
        <v>45958</v>
      </c>
      <c r="J82" s="9"/>
      <c r="K82" s="9">
        <f t="shared" si="3"/>
        <v>100</v>
      </c>
      <c r="L82" s="12">
        <v>0</v>
      </c>
      <c r="M82" s="12">
        <v>80</v>
      </c>
      <c r="N82" s="12">
        <v>80</v>
      </c>
      <c r="O82" s="12">
        <v>80</v>
      </c>
      <c r="P82" s="33">
        <v>100</v>
      </c>
      <c r="Q82" s="12"/>
      <c r="R82" s="38"/>
      <c r="S82" s="38"/>
      <c r="T82" s="38"/>
    </row>
    <row r="83" spans="1:20" s="16" customFormat="1" ht="15" x14ac:dyDescent="0.25">
      <c r="A83" s="13" t="s">
        <v>40</v>
      </c>
      <c r="B83" s="9">
        <v>36</v>
      </c>
      <c r="C83" s="9" t="s">
        <v>3</v>
      </c>
      <c r="D83" s="9" t="s">
        <v>116</v>
      </c>
      <c r="E83" s="13" t="s">
        <v>292</v>
      </c>
      <c r="F83" s="9" t="s">
        <v>20</v>
      </c>
      <c r="G83" s="9" t="s">
        <v>21</v>
      </c>
      <c r="H83" s="9" t="s">
        <v>14</v>
      </c>
      <c r="I83" s="10">
        <f t="shared" si="2"/>
        <v>45986</v>
      </c>
      <c r="J83" s="9"/>
      <c r="K83" s="9">
        <f t="shared" si="3"/>
        <v>60</v>
      </c>
      <c r="L83" s="12">
        <v>0</v>
      </c>
      <c r="M83" s="12">
        <v>20</v>
      </c>
      <c r="N83" s="12">
        <v>40</v>
      </c>
      <c r="O83" s="12">
        <v>60</v>
      </c>
      <c r="P83" s="33"/>
      <c r="Q83" s="12"/>
    </row>
    <row r="84" spans="1:20" s="8" customFormat="1" ht="15" x14ac:dyDescent="0.25">
      <c r="A84" s="9" t="s">
        <v>42</v>
      </c>
      <c r="B84" s="9">
        <v>36</v>
      </c>
      <c r="C84" s="9" t="s">
        <v>3</v>
      </c>
      <c r="D84" s="9" t="s">
        <v>117</v>
      </c>
      <c r="E84" s="13" t="s">
        <v>292</v>
      </c>
      <c r="F84" s="9" t="s">
        <v>20</v>
      </c>
      <c r="G84" s="9" t="s">
        <v>21</v>
      </c>
      <c r="H84" s="9" t="s">
        <v>75</v>
      </c>
      <c r="I84" s="10">
        <f t="shared" si="2"/>
        <v>46015</v>
      </c>
      <c r="J84" s="9"/>
      <c r="K84" s="9">
        <f t="shared" si="3"/>
        <v>0</v>
      </c>
      <c r="L84" s="12">
        <v>0</v>
      </c>
      <c r="M84" s="12">
        <v>0</v>
      </c>
      <c r="N84" s="12">
        <v>0</v>
      </c>
      <c r="O84" s="12">
        <v>0</v>
      </c>
      <c r="P84" s="33"/>
      <c r="Q84" s="12"/>
    </row>
    <row r="85" spans="1:20" s="8" customFormat="1" ht="15" x14ac:dyDescent="0.25">
      <c r="A85" s="9" t="s">
        <v>17</v>
      </c>
      <c r="B85" s="9">
        <v>37</v>
      </c>
      <c r="C85" s="9" t="s">
        <v>18</v>
      </c>
      <c r="D85" s="9" t="s">
        <v>118</v>
      </c>
      <c r="E85" s="9" t="s">
        <v>299</v>
      </c>
      <c r="F85" s="9" t="s">
        <v>20</v>
      </c>
      <c r="G85" s="9" t="s">
        <v>28</v>
      </c>
      <c r="H85" s="9" t="s">
        <v>25</v>
      </c>
      <c r="I85" s="10">
        <f t="shared" si="2"/>
        <v>46015</v>
      </c>
      <c r="J85" s="9" t="s">
        <v>119</v>
      </c>
      <c r="K85" s="9">
        <v>30</v>
      </c>
      <c r="L85" s="12">
        <v>0</v>
      </c>
      <c r="M85" s="12"/>
      <c r="N85" s="12">
        <v>50</v>
      </c>
      <c r="O85" s="12">
        <v>70</v>
      </c>
      <c r="P85" s="33"/>
      <c r="Q85" s="12"/>
    </row>
    <row r="86" spans="1:20" s="8" customFormat="1" ht="15" x14ac:dyDescent="0.25">
      <c r="A86" s="9" t="s">
        <v>29</v>
      </c>
      <c r="B86" s="9">
        <v>38</v>
      </c>
      <c r="C86" s="9" t="s">
        <v>18</v>
      </c>
      <c r="D86" s="9" t="s">
        <v>120</v>
      </c>
      <c r="E86" s="9" t="s">
        <v>299</v>
      </c>
      <c r="F86" s="9" t="s">
        <v>20</v>
      </c>
      <c r="G86" s="9" t="s">
        <v>21</v>
      </c>
      <c r="H86" s="9" t="s">
        <v>25</v>
      </c>
      <c r="I86" s="10">
        <f t="shared" si="2"/>
        <v>46015</v>
      </c>
      <c r="J86" s="9"/>
      <c r="K86" s="9">
        <f t="shared" si="3"/>
        <v>100</v>
      </c>
      <c r="L86" s="12"/>
      <c r="M86" s="12"/>
      <c r="N86" s="12"/>
      <c r="O86" s="12">
        <v>100</v>
      </c>
      <c r="P86" s="33">
        <v>100</v>
      </c>
      <c r="Q86" s="12"/>
      <c r="R86" s="38"/>
      <c r="S86" s="38"/>
      <c r="T86" s="38"/>
    </row>
    <row r="87" spans="1:20" s="8" customFormat="1" ht="15" x14ac:dyDescent="0.25">
      <c r="A87" s="9" t="s">
        <v>29</v>
      </c>
      <c r="B87" s="9">
        <v>38</v>
      </c>
      <c r="C87" s="9" t="s">
        <v>18</v>
      </c>
      <c r="D87" s="9" t="s">
        <v>121</v>
      </c>
      <c r="E87" s="9" t="s">
        <v>299</v>
      </c>
      <c r="F87" s="9" t="s">
        <v>20</v>
      </c>
      <c r="G87" s="9" t="s">
        <v>21</v>
      </c>
      <c r="H87" s="9" t="s">
        <v>25</v>
      </c>
      <c r="I87" s="10">
        <f t="shared" si="2"/>
        <v>46015</v>
      </c>
      <c r="J87" s="9"/>
      <c r="K87" s="9">
        <f t="shared" si="3"/>
        <v>50</v>
      </c>
      <c r="L87" s="12"/>
      <c r="M87" s="12"/>
      <c r="N87" s="12">
        <v>25</v>
      </c>
      <c r="O87" s="12">
        <v>50</v>
      </c>
      <c r="P87" s="33"/>
      <c r="Q87" s="12"/>
    </row>
    <row r="88" spans="1:20" s="8" customFormat="1" ht="15" x14ac:dyDescent="0.25">
      <c r="A88" s="9" t="s">
        <v>29</v>
      </c>
      <c r="B88" s="9">
        <v>39</v>
      </c>
      <c r="C88" s="9" t="s">
        <v>18</v>
      </c>
      <c r="D88" s="9" t="s">
        <v>122</v>
      </c>
      <c r="E88" s="9" t="s">
        <v>293</v>
      </c>
      <c r="F88" s="9" t="s">
        <v>20</v>
      </c>
      <c r="G88" s="9" t="s">
        <v>28</v>
      </c>
      <c r="H88" s="9" t="s">
        <v>75</v>
      </c>
      <c r="I88" s="10">
        <f t="shared" si="2"/>
        <v>46015</v>
      </c>
      <c r="J88" s="9"/>
      <c r="K88" s="9">
        <f t="shared" si="3"/>
        <v>50</v>
      </c>
      <c r="L88" s="12"/>
      <c r="M88" s="12"/>
      <c r="N88" s="12"/>
      <c r="O88" s="12">
        <v>50</v>
      </c>
      <c r="P88" s="33"/>
      <c r="Q88" s="12"/>
    </row>
    <row r="89" spans="1:20" s="8" customFormat="1" ht="15" x14ac:dyDescent="0.25">
      <c r="A89" s="9" t="s">
        <v>17</v>
      </c>
      <c r="B89" s="9">
        <v>41</v>
      </c>
      <c r="C89" s="9" t="s">
        <v>18</v>
      </c>
      <c r="D89" s="9" t="s">
        <v>123</v>
      </c>
      <c r="E89" s="9" t="s">
        <v>288</v>
      </c>
      <c r="F89" s="9" t="s">
        <v>20</v>
      </c>
      <c r="G89" s="9" t="s">
        <v>21</v>
      </c>
      <c r="H89" s="9" t="s">
        <v>25</v>
      </c>
      <c r="I89" s="10">
        <f t="shared" si="2"/>
        <v>46015</v>
      </c>
      <c r="J89" s="9"/>
      <c r="K89" s="9">
        <f t="shared" si="3"/>
        <v>20</v>
      </c>
      <c r="L89" s="12">
        <v>0</v>
      </c>
      <c r="M89" s="12">
        <v>0</v>
      </c>
      <c r="N89" s="12">
        <v>20</v>
      </c>
      <c r="O89" s="12">
        <v>20</v>
      </c>
      <c r="P89" s="33"/>
      <c r="Q89" s="12"/>
    </row>
    <row r="90" spans="1:20" s="8" customFormat="1" ht="15" x14ac:dyDescent="0.25">
      <c r="A90" s="9" t="s">
        <v>29</v>
      </c>
      <c r="B90" s="9">
        <v>41</v>
      </c>
      <c r="C90" s="9" t="s">
        <v>18</v>
      </c>
      <c r="D90" s="9" t="s">
        <v>124</v>
      </c>
      <c r="E90" s="9" t="s">
        <v>288</v>
      </c>
      <c r="F90" s="9" t="s">
        <v>125</v>
      </c>
      <c r="G90" s="9" t="s">
        <v>21</v>
      </c>
      <c r="H90" s="9" t="s">
        <v>25</v>
      </c>
      <c r="I90" s="10">
        <f t="shared" si="2"/>
        <v>46015</v>
      </c>
      <c r="J90" s="9" t="s">
        <v>126</v>
      </c>
      <c r="K90" s="9">
        <f t="shared" si="3"/>
        <v>0</v>
      </c>
      <c r="L90" s="12"/>
      <c r="M90" s="12"/>
      <c r="N90" s="12"/>
      <c r="O90" s="12"/>
      <c r="P90" s="33"/>
      <c r="Q90" s="12"/>
    </row>
    <row r="91" spans="1:20" s="16" customFormat="1" ht="15" x14ac:dyDescent="0.25">
      <c r="A91" s="13" t="s">
        <v>40</v>
      </c>
      <c r="B91" s="9">
        <v>42</v>
      </c>
      <c r="C91" s="9" t="s">
        <v>3</v>
      </c>
      <c r="D91" s="9" t="s">
        <v>127</v>
      </c>
      <c r="E91" s="9" t="s">
        <v>288</v>
      </c>
      <c r="F91" s="9" t="s">
        <v>20</v>
      </c>
      <c r="G91" s="9" t="s">
        <v>21</v>
      </c>
      <c r="H91" s="9" t="s">
        <v>12</v>
      </c>
      <c r="I91" s="10">
        <f t="shared" si="2"/>
        <v>45958</v>
      </c>
      <c r="J91" s="9"/>
      <c r="K91" s="9">
        <f t="shared" si="3"/>
        <v>95</v>
      </c>
      <c r="L91" s="12">
        <v>0</v>
      </c>
      <c r="M91" s="12">
        <v>80</v>
      </c>
      <c r="N91" s="12">
        <v>95</v>
      </c>
      <c r="O91" s="12">
        <v>95</v>
      </c>
      <c r="P91" s="33"/>
      <c r="Q91" s="12"/>
    </row>
    <row r="92" spans="1:20" s="16" customFormat="1" ht="15" x14ac:dyDescent="0.25">
      <c r="A92" s="13" t="s">
        <v>40</v>
      </c>
      <c r="B92" s="9">
        <v>42</v>
      </c>
      <c r="C92" s="9" t="s">
        <v>3</v>
      </c>
      <c r="D92" s="9" t="s">
        <v>128</v>
      </c>
      <c r="E92" s="9" t="s">
        <v>288</v>
      </c>
      <c r="F92" s="9" t="s">
        <v>20</v>
      </c>
      <c r="G92" s="9" t="s">
        <v>21</v>
      </c>
      <c r="H92" s="9" t="s">
        <v>70</v>
      </c>
      <c r="I92" s="10">
        <f t="shared" si="2"/>
        <v>46015</v>
      </c>
      <c r="J92" s="9"/>
      <c r="K92" s="9">
        <f t="shared" si="3"/>
        <v>20</v>
      </c>
      <c r="L92" s="12">
        <v>0</v>
      </c>
      <c r="M92" s="12">
        <v>0</v>
      </c>
      <c r="N92" s="12">
        <v>0</v>
      </c>
      <c r="O92" s="12">
        <v>20</v>
      </c>
      <c r="P92" s="33"/>
      <c r="Q92" s="12"/>
    </row>
    <row r="93" spans="1:20" s="8" customFormat="1" ht="15" x14ac:dyDescent="0.25">
      <c r="A93" s="9" t="s">
        <v>76</v>
      </c>
      <c r="B93" s="9">
        <v>42</v>
      </c>
      <c r="C93" s="9" t="s">
        <v>3</v>
      </c>
      <c r="D93" s="9" t="s">
        <v>129</v>
      </c>
      <c r="E93" s="9" t="s">
        <v>288</v>
      </c>
      <c r="F93" s="9" t="s">
        <v>20</v>
      </c>
      <c r="G93" s="9" t="s">
        <v>21</v>
      </c>
      <c r="H93" s="9" t="s">
        <v>75</v>
      </c>
      <c r="I93" s="10">
        <f t="shared" si="2"/>
        <v>46015</v>
      </c>
      <c r="J93" s="9"/>
      <c r="K93" s="9">
        <f t="shared" si="3"/>
        <v>57</v>
      </c>
      <c r="L93" s="12">
        <v>0</v>
      </c>
      <c r="M93" s="12">
        <v>14</v>
      </c>
      <c r="N93" s="12">
        <v>14</v>
      </c>
      <c r="O93" s="12">
        <v>57</v>
      </c>
      <c r="P93" s="33"/>
      <c r="Q93" s="12"/>
    </row>
    <row r="94" spans="1:20" s="16" customFormat="1" ht="18" customHeight="1" x14ac:dyDescent="0.25">
      <c r="A94" s="13" t="s">
        <v>40</v>
      </c>
      <c r="B94" s="9">
        <v>43</v>
      </c>
      <c r="C94" s="9" t="s">
        <v>3</v>
      </c>
      <c r="D94" s="9" t="s">
        <v>130</v>
      </c>
      <c r="E94" s="13" t="s">
        <v>303</v>
      </c>
      <c r="F94" s="9" t="s">
        <v>20</v>
      </c>
      <c r="G94" s="9" t="s">
        <v>21</v>
      </c>
      <c r="H94" s="9" t="s">
        <v>25</v>
      </c>
      <c r="I94" s="10">
        <f t="shared" si="2"/>
        <v>46015</v>
      </c>
      <c r="J94" s="9"/>
      <c r="K94" s="9">
        <f t="shared" si="3"/>
        <v>0</v>
      </c>
      <c r="L94" s="12">
        <v>0</v>
      </c>
      <c r="M94" s="12">
        <v>0</v>
      </c>
      <c r="N94" s="12">
        <v>0</v>
      </c>
      <c r="O94" s="12">
        <v>0</v>
      </c>
      <c r="P94" s="33"/>
      <c r="Q94" s="12"/>
    </row>
    <row r="95" spans="1:20" s="8" customFormat="1" ht="15" x14ac:dyDescent="0.25">
      <c r="A95" s="9" t="s">
        <v>17</v>
      </c>
      <c r="B95" s="9">
        <v>44</v>
      </c>
      <c r="C95" s="9" t="s">
        <v>18</v>
      </c>
      <c r="D95" s="9" t="s">
        <v>131</v>
      </c>
      <c r="E95" s="13" t="s">
        <v>303</v>
      </c>
      <c r="F95" s="9" t="s">
        <v>20</v>
      </c>
      <c r="G95" s="9" t="s">
        <v>28</v>
      </c>
      <c r="H95" s="9" t="s">
        <v>25</v>
      </c>
      <c r="I95" s="10">
        <f t="shared" si="2"/>
        <v>46015</v>
      </c>
      <c r="J95" s="9"/>
      <c r="K95" s="9">
        <f t="shared" si="3"/>
        <v>100</v>
      </c>
      <c r="L95" s="12">
        <v>15</v>
      </c>
      <c r="M95" s="12">
        <v>15</v>
      </c>
      <c r="N95" s="12">
        <v>15</v>
      </c>
      <c r="O95" s="12">
        <v>15</v>
      </c>
      <c r="P95" s="33">
        <v>100</v>
      </c>
      <c r="Q95" s="12"/>
      <c r="R95" s="38"/>
      <c r="S95" s="38"/>
      <c r="T95" s="38"/>
    </row>
    <row r="96" spans="1:20" s="8" customFormat="1" ht="15" x14ac:dyDescent="0.25">
      <c r="A96" s="9" t="s">
        <v>29</v>
      </c>
      <c r="B96" s="9">
        <v>45</v>
      </c>
      <c r="C96" s="9" t="s">
        <v>18</v>
      </c>
      <c r="D96" s="9" t="s">
        <v>132</v>
      </c>
      <c r="E96" s="13" t="s">
        <v>303</v>
      </c>
      <c r="F96" s="9" t="s">
        <v>20</v>
      </c>
      <c r="G96" s="9" t="s">
        <v>21</v>
      </c>
      <c r="H96" s="9" t="s">
        <v>75</v>
      </c>
      <c r="I96" s="10">
        <f t="shared" si="2"/>
        <v>46015</v>
      </c>
      <c r="J96" s="9"/>
      <c r="K96" s="9">
        <f t="shared" si="3"/>
        <v>0</v>
      </c>
      <c r="L96" s="12"/>
      <c r="M96" s="12"/>
      <c r="N96" s="12"/>
      <c r="O96" s="12"/>
      <c r="P96" s="33"/>
      <c r="Q96" s="12"/>
    </row>
    <row r="97" spans="1:20" s="8" customFormat="1" ht="15" x14ac:dyDescent="0.25">
      <c r="A97" s="9" t="s">
        <v>35</v>
      </c>
      <c r="B97" s="9">
        <v>47</v>
      </c>
      <c r="C97" s="9" t="s">
        <v>3</v>
      </c>
      <c r="D97" s="9" t="s">
        <v>133</v>
      </c>
      <c r="E97" s="13" t="s">
        <v>303</v>
      </c>
      <c r="F97" s="9" t="s">
        <v>20</v>
      </c>
      <c r="G97" s="9" t="s">
        <v>21</v>
      </c>
      <c r="H97" s="9" t="s">
        <v>13</v>
      </c>
      <c r="I97" s="10">
        <f t="shared" si="2"/>
        <v>45973</v>
      </c>
      <c r="J97" s="9"/>
      <c r="K97" s="9">
        <f t="shared" si="3"/>
        <v>50</v>
      </c>
      <c r="L97" s="12">
        <v>20</v>
      </c>
      <c r="M97" s="12">
        <v>25</v>
      </c>
      <c r="N97" s="12">
        <v>30</v>
      </c>
      <c r="O97" s="12">
        <v>50</v>
      </c>
      <c r="P97" s="33"/>
      <c r="Q97" s="12"/>
    </row>
    <row r="98" spans="1:20" s="8" customFormat="1" ht="15" x14ac:dyDescent="0.25">
      <c r="A98" s="9" t="s">
        <v>42</v>
      </c>
      <c r="B98" s="9">
        <v>47</v>
      </c>
      <c r="C98" s="9" t="s">
        <v>3</v>
      </c>
      <c r="D98" s="9" t="s">
        <v>134</v>
      </c>
      <c r="E98" s="13" t="s">
        <v>303</v>
      </c>
      <c r="F98" s="9" t="s">
        <v>20</v>
      </c>
      <c r="G98" s="9" t="s">
        <v>21</v>
      </c>
      <c r="H98" s="9" t="s">
        <v>14</v>
      </c>
      <c r="I98" s="10">
        <f t="shared" si="2"/>
        <v>45986</v>
      </c>
      <c r="J98" s="9"/>
      <c r="K98" s="9">
        <f t="shared" si="3"/>
        <v>80</v>
      </c>
      <c r="L98" s="12">
        <v>80</v>
      </c>
      <c r="M98" s="12">
        <v>80</v>
      </c>
      <c r="N98" s="12">
        <v>80</v>
      </c>
      <c r="O98" s="12">
        <v>80</v>
      </c>
      <c r="P98" s="33"/>
      <c r="Q98" s="12"/>
    </row>
    <row r="99" spans="1:20" s="16" customFormat="1" ht="15" x14ac:dyDescent="0.25">
      <c r="A99" s="13" t="s">
        <v>40</v>
      </c>
      <c r="B99" s="9">
        <v>48</v>
      </c>
      <c r="C99" s="9" t="s">
        <v>3</v>
      </c>
      <c r="D99" s="9" t="s">
        <v>135</v>
      </c>
      <c r="E99" s="13" t="s">
        <v>303</v>
      </c>
      <c r="F99" s="9" t="s">
        <v>20</v>
      </c>
      <c r="G99" s="9" t="s">
        <v>28</v>
      </c>
      <c r="H99" s="9" t="s">
        <v>70</v>
      </c>
      <c r="I99" s="10">
        <f t="shared" si="2"/>
        <v>46015</v>
      </c>
      <c r="J99" s="9"/>
      <c r="K99" s="9">
        <f t="shared" si="3"/>
        <v>0</v>
      </c>
      <c r="L99" s="12">
        <v>0</v>
      </c>
      <c r="M99" s="12">
        <v>0</v>
      </c>
      <c r="N99" s="12">
        <v>0</v>
      </c>
      <c r="O99" s="12">
        <v>0</v>
      </c>
      <c r="P99" s="33"/>
      <c r="Q99" s="12"/>
    </row>
    <row r="100" spans="1:20" s="8" customFormat="1" ht="15" x14ac:dyDescent="0.25">
      <c r="A100" s="9" t="s">
        <v>29</v>
      </c>
      <c r="B100" s="9">
        <v>49</v>
      </c>
      <c r="C100" s="9" t="s">
        <v>18</v>
      </c>
      <c r="D100" s="9" t="s">
        <v>136</v>
      </c>
      <c r="E100" s="13" t="s">
        <v>303</v>
      </c>
      <c r="F100" s="9" t="s">
        <v>20</v>
      </c>
      <c r="G100" s="9" t="s">
        <v>21</v>
      </c>
      <c r="H100" s="9" t="s">
        <v>25</v>
      </c>
      <c r="I100" s="10">
        <f t="shared" si="2"/>
        <v>46015</v>
      </c>
      <c r="J100" s="9"/>
      <c r="K100" s="9">
        <f t="shared" si="3"/>
        <v>100</v>
      </c>
      <c r="L100" s="12"/>
      <c r="M100" s="12"/>
      <c r="N100" s="12"/>
      <c r="O100" s="12"/>
      <c r="P100" s="33">
        <v>100</v>
      </c>
      <c r="Q100" s="12"/>
      <c r="R100" s="38"/>
      <c r="S100" s="38"/>
      <c r="T100" s="38"/>
    </row>
    <row r="101" spans="1:20" s="16" customFormat="1" ht="15" x14ac:dyDescent="0.25">
      <c r="A101" s="13" t="s">
        <v>40</v>
      </c>
      <c r="B101" s="9">
        <v>51</v>
      </c>
      <c r="C101" s="9" t="s">
        <v>3</v>
      </c>
      <c r="D101" s="9" t="s">
        <v>137</v>
      </c>
      <c r="E101" s="13" t="s">
        <v>303</v>
      </c>
      <c r="F101" s="9" t="s">
        <v>20</v>
      </c>
      <c r="G101" s="9" t="s">
        <v>21</v>
      </c>
      <c r="H101" s="9" t="s">
        <v>12</v>
      </c>
      <c r="I101" s="10">
        <f t="shared" si="2"/>
        <v>45958</v>
      </c>
      <c r="J101" s="9" t="s">
        <v>138</v>
      </c>
      <c r="K101" s="9">
        <f t="shared" si="3"/>
        <v>100</v>
      </c>
      <c r="L101" s="12">
        <v>0</v>
      </c>
      <c r="M101" s="12">
        <v>100</v>
      </c>
      <c r="N101" s="12">
        <v>100</v>
      </c>
      <c r="O101" s="12">
        <v>100</v>
      </c>
      <c r="P101" s="33">
        <v>100</v>
      </c>
      <c r="Q101" s="12"/>
      <c r="R101" s="38"/>
      <c r="S101" s="38"/>
      <c r="T101" s="38"/>
    </row>
    <row r="102" spans="1:20" s="16" customFormat="1" ht="15" x14ac:dyDescent="0.25">
      <c r="A102" s="13" t="s">
        <v>40</v>
      </c>
      <c r="B102" s="9">
        <v>51</v>
      </c>
      <c r="C102" s="9" t="s">
        <v>3</v>
      </c>
      <c r="D102" s="9" t="s">
        <v>139</v>
      </c>
      <c r="E102" s="13" t="s">
        <v>303</v>
      </c>
      <c r="F102" s="9" t="s">
        <v>20</v>
      </c>
      <c r="G102" s="9" t="s">
        <v>21</v>
      </c>
      <c r="H102" s="9" t="s">
        <v>70</v>
      </c>
      <c r="I102" s="10">
        <f t="shared" si="2"/>
        <v>46015</v>
      </c>
      <c r="J102" s="9" t="s">
        <v>138</v>
      </c>
      <c r="K102" s="9">
        <f t="shared" si="3"/>
        <v>100</v>
      </c>
      <c r="L102" s="12">
        <v>0</v>
      </c>
      <c r="M102" s="12">
        <v>100</v>
      </c>
      <c r="N102" s="12">
        <v>100</v>
      </c>
      <c r="O102" s="12">
        <v>100</v>
      </c>
      <c r="P102" s="33">
        <v>100</v>
      </c>
      <c r="Q102" s="12"/>
      <c r="R102" s="38"/>
      <c r="S102" s="38"/>
      <c r="T102" s="38"/>
    </row>
    <row r="103" spans="1:20" s="8" customFormat="1" ht="15" x14ac:dyDescent="0.25">
      <c r="A103" s="9" t="s">
        <v>35</v>
      </c>
      <c r="B103" s="9">
        <v>53</v>
      </c>
      <c r="C103" s="9" t="s">
        <v>3</v>
      </c>
      <c r="D103" s="9" t="s">
        <v>140</v>
      </c>
      <c r="E103" s="13" t="s">
        <v>303</v>
      </c>
      <c r="F103" s="9" t="s">
        <v>20</v>
      </c>
      <c r="G103" s="9" t="s">
        <v>59</v>
      </c>
      <c r="H103" s="9" t="s">
        <v>14</v>
      </c>
      <c r="I103" s="10">
        <f t="shared" si="2"/>
        <v>45986</v>
      </c>
      <c r="J103" s="9"/>
      <c r="K103" s="9">
        <f t="shared" si="3"/>
        <v>100</v>
      </c>
      <c r="L103" s="12">
        <v>5</v>
      </c>
      <c r="M103" s="12">
        <v>15</v>
      </c>
      <c r="N103" s="12">
        <v>30</v>
      </c>
      <c r="O103" s="12">
        <v>100</v>
      </c>
      <c r="P103" s="33"/>
      <c r="Q103" s="12"/>
    </row>
    <row r="104" spans="1:20" s="16" customFormat="1" ht="15" x14ac:dyDescent="0.25">
      <c r="A104" s="13" t="s">
        <v>40</v>
      </c>
      <c r="B104" s="9">
        <v>54</v>
      </c>
      <c r="C104" s="9" t="s">
        <v>3</v>
      </c>
      <c r="D104" s="9" t="s">
        <v>141</v>
      </c>
      <c r="E104" s="13" t="s">
        <v>303</v>
      </c>
      <c r="F104" s="9" t="s">
        <v>20</v>
      </c>
      <c r="G104" s="9" t="s">
        <v>28</v>
      </c>
      <c r="H104" s="9" t="s">
        <v>11</v>
      </c>
      <c r="I104" s="10">
        <f t="shared" si="2"/>
        <v>45944</v>
      </c>
      <c r="J104" s="9"/>
      <c r="K104" s="9">
        <f t="shared" si="3"/>
        <v>100</v>
      </c>
      <c r="L104" s="12">
        <v>80</v>
      </c>
      <c r="M104" s="12">
        <v>100</v>
      </c>
      <c r="N104" s="12">
        <v>100</v>
      </c>
      <c r="O104" s="12">
        <v>100</v>
      </c>
      <c r="P104" s="33">
        <v>100</v>
      </c>
      <c r="Q104" s="12"/>
      <c r="R104" s="38"/>
      <c r="S104" s="38"/>
      <c r="T104" s="38"/>
    </row>
    <row r="105" spans="1:20" s="16" customFormat="1" ht="15" x14ac:dyDescent="0.25">
      <c r="A105" s="13" t="s">
        <v>40</v>
      </c>
      <c r="B105" s="9">
        <v>54</v>
      </c>
      <c r="C105" s="9" t="s">
        <v>3</v>
      </c>
      <c r="D105" s="9" t="s">
        <v>142</v>
      </c>
      <c r="E105" s="13" t="s">
        <v>303</v>
      </c>
      <c r="F105" s="9" t="s">
        <v>20</v>
      </c>
      <c r="G105" s="9" t="s">
        <v>59</v>
      </c>
      <c r="H105" s="9" t="s">
        <v>14</v>
      </c>
      <c r="I105" s="10">
        <f t="shared" si="2"/>
        <v>45986</v>
      </c>
      <c r="J105" s="9" t="s">
        <v>301</v>
      </c>
      <c r="K105" s="9">
        <f t="shared" si="3"/>
        <v>100</v>
      </c>
      <c r="L105" s="12">
        <v>40</v>
      </c>
      <c r="M105" s="12">
        <v>100</v>
      </c>
      <c r="N105" s="12">
        <v>100</v>
      </c>
      <c r="O105" s="12">
        <v>100</v>
      </c>
      <c r="P105" s="33">
        <v>100</v>
      </c>
      <c r="Q105" s="12"/>
      <c r="R105" s="38"/>
      <c r="S105" s="38"/>
      <c r="T105" s="38"/>
    </row>
    <row r="106" spans="1:20" s="8" customFormat="1" ht="15" x14ac:dyDescent="0.25">
      <c r="A106" s="9" t="s">
        <v>143</v>
      </c>
      <c r="B106" s="9">
        <v>56</v>
      </c>
      <c r="C106" s="9" t="s">
        <v>3</v>
      </c>
      <c r="D106" s="9" t="s">
        <v>144</v>
      </c>
      <c r="E106" s="13" t="s">
        <v>303</v>
      </c>
      <c r="F106" s="9" t="s">
        <v>20</v>
      </c>
      <c r="G106" s="9" t="s">
        <v>21</v>
      </c>
      <c r="H106" s="9" t="s">
        <v>75</v>
      </c>
      <c r="I106" s="10">
        <f t="shared" si="2"/>
        <v>46015</v>
      </c>
      <c r="J106" s="9"/>
      <c r="K106" s="9">
        <f t="shared" si="3"/>
        <v>100</v>
      </c>
      <c r="L106" s="12">
        <v>20</v>
      </c>
      <c r="M106" s="12"/>
      <c r="N106" s="12"/>
      <c r="O106" s="12"/>
      <c r="P106" s="33">
        <v>100</v>
      </c>
      <c r="Q106" s="12"/>
      <c r="R106" s="38"/>
      <c r="S106" s="38"/>
      <c r="T106" s="38"/>
    </row>
    <row r="107" spans="1:20" s="8" customFormat="1" ht="15" x14ac:dyDescent="0.25">
      <c r="A107" s="9" t="s">
        <v>143</v>
      </c>
      <c r="B107" s="9">
        <v>56</v>
      </c>
      <c r="C107" s="9" t="s">
        <v>3</v>
      </c>
      <c r="D107" s="9" t="s">
        <v>145</v>
      </c>
      <c r="E107" s="13" t="s">
        <v>303</v>
      </c>
      <c r="F107" s="9" t="s">
        <v>20</v>
      </c>
      <c r="G107" s="9" t="s">
        <v>21</v>
      </c>
      <c r="H107" s="9" t="s">
        <v>75</v>
      </c>
      <c r="I107" s="10">
        <f t="shared" si="2"/>
        <v>46015</v>
      </c>
      <c r="J107" s="9"/>
      <c r="K107" s="9">
        <f t="shared" si="3"/>
        <v>0</v>
      </c>
      <c r="L107" s="12">
        <v>0</v>
      </c>
      <c r="M107" s="12"/>
      <c r="N107" s="12"/>
      <c r="O107" s="12"/>
      <c r="P107" s="33"/>
      <c r="Q107" s="12"/>
    </row>
    <row r="108" spans="1:20" s="8" customFormat="1" ht="15" x14ac:dyDescent="0.25">
      <c r="A108" s="9" t="s">
        <v>143</v>
      </c>
      <c r="B108" s="9">
        <v>56</v>
      </c>
      <c r="C108" s="9" t="s">
        <v>3</v>
      </c>
      <c r="D108" s="9" t="s">
        <v>146</v>
      </c>
      <c r="E108" s="13" t="s">
        <v>303</v>
      </c>
      <c r="F108" s="9" t="s">
        <v>20</v>
      </c>
      <c r="G108" s="9" t="s">
        <v>21</v>
      </c>
      <c r="H108" s="9" t="s">
        <v>75</v>
      </c>
      <c r="I108" s="10">
        <f t="shared" si="2"/>
        <v>46015</v>
      </c>
      <c r="J108" s="9"/>
      <c r="K108" s="9">
        <f t="shared" si="3"/>
        <v>0</v>
      </c>
      <c r="L108" s="12">
        <v>0</v>
      </c>
      <c r="M108" s="12"/>
      <c r="N108" s="12"/>
      <c r="O108" s="12"/>
      <c r="P108" s="33"/>
      <c r="Q108" s="12"/>
    </row>
    <row r="109" spans="1:20" s="8" customFormat="1" ht="15" x14ac:dyDescent="0.25">
      <c r="A109" s="9" t="s">
        <v>143</v>
      </c>
      <c r="B109" s="9">
        <v>56</v>
      </c>
      <c r="C109" s="9" t="s">
        <v>3</v>
      </c>
      <c r="D109" s="9" t="s">
        <v>147</v>
      </c>
      <c r="E109" s="13" t="s">
        <v>303</v>
      </c>
      <c r="F109" s="9" t="s">
        <v>20</v>
      </c>
      <c r="G109" s="9" t="s">
        <v>21</v>
      </c>
      <c r="H109" s="9" t="s">
        <v>14</v>
      </c>
      <c r="I109" s="10">
        <f t="shared" si="2"/>
        <v>45986</v>
      </c>
      <c r="J109" s="9"/>
      <c r="K109" s="9">
        <f t="shared" si="3"/>
        <v>0</v>
      </c>
      <c r="L109" s="12">
        <v>0</v>
      </c>
      <c r="M109" s="12"/>
      <c r="N109" s="12"/>
      <c r="O109" s="12"/>
      <c r="P109" s="33"/>
      <c r="Q109" s="12"/>
    </row>
    <row r="110" spans="1:20" s="8" customFormat="1" ht="15" x14ac:dyDescent="0.25">
      <c r="A110" s="9" t="s">
        <v>143</v>
      </c>
      <c r="B110" s="9">
        <v>57</v>
      </c>
      <c r="C110" s="9" t="s">
        <v>3</v>
      </c>
      <c r="D110" s="9" t="s">
        <v>148</v>
      </c>
      <c r="E110" s="13" t="s">
        <v>303</v>
      </c>
      <c r="F110" s="9" t="s">
        <v>20</v>
      </c>
      <c r="G110" s="9" t="s">
        <v>21</v>
      </c>
      <c r="H110" s="9" t="s">
        <v>25</v>
      </c>
      <c r="I110" s="10">
        <f t="shared" si="2"/>
        <v>46015</v>
      </c>
      <c r="J110" s="9"/>
      <c r="K110" s="9">
        <f t="shared" si="3"/>
        <v>0</v>
      </c>
      <c r="L110" s="12">
        <v>0</v>
      </c>
      <c r="M110" s="12"/>
      <c r="N110" s="12"/>
      <c r="O110" s="12"/>
      <c r="P110" s="33"/>
      <c r="Q110" s="12"/>
    </row>
    <row r="111" spans="1:20" s="8" customFormat="1" ht="15" x14ac:dyDescent="0.25">
      <c r="A111" s="9" t="s">
        <v>143</v>
      </c>
      <c r="B111" s="9">
        <v>58</v>
      </c>
      <c r="C111" s="9" t="s">
        <v>3</v>
      </c>
      <c r="D111" s="9" t="s">
        <v>149</v>
      </c>
      <c r="E111" s="13" t="s">
        <v>303</v>
      </c>
      <c r="F111" s="9" t="s">
        <v>20</v>
      </c>
      <c r="G111" s="9" t="s">
        <v>28</v>
      </c>
      <c r="H111" s="9" t="s">
        <v>25</v>
      </c>
      <c r="I111" s="10">
        <f t="shared" si="2"/>
        <v>46015</v>
      </c>
      <c r="J111" s="9"/>
      <c r="K111" s="9">
        <f t="shared" si="3"/>
        <v>50</v>
      </c>
      <c r="L111" s="12">
        <v>50</v>
      </c>
      <c r="M111" s="12"/>
      <c r="N111" s="12"/>
      <c r="O111" s="12"/>
      <c r="P111" s="33"/>
      <c r="Q111" s="12"/>
    </row>
    <row r="112" spans="1:20" s="8" customFormat="1" ht="15" x14ac:dyDescent="0.25">
      <c r="A112" s="9" t="s">
        <v>143</v>
      </c>
      <c r="B112" s="9">
        <v>59</v>
      </c>
      <c r="C112" s="9" t="s">
        <v>3</v>
      </c>
      <c r="D112" s="9" t="s">
        <v>150</v>
      </c>
      <c r="E112" s="13" t="s">
        <v>303</v>
      </c>
      <c r="F112" s="9" t="s">
        <v>20</v>
      </c>
      <c r="G112" s="9" t="s">
        <v>21</v>
      </c>
      <c r="H112" s="9" t="s">
        <v>11</v>
      </c>
      <c r="I112" s="10">
        <f t="shared" si="2"/>
        <v>45944</v>
      </c>
      <c r="J112" s="9"/>
      <c r="K112" s="9">
        <f t="shared" si="3"/>
        <v>0</v>
      </c>
      <c r="L112" s="12">
        <v>0</v>
      </c>
      <c r="M112" s="12"/>
      <c r="N112" s="12"/>
      <c r="O112" s="12"/>
      <c r="P112" s="33"/>
      <c r="Q112" s="12"/>
    </row>
    <row r="113" spans="1:20" s="8" customFormat="1" ht="15" x14ac:dyDescent="0.25">
      <c r="A113" s="9" t="s">
        <v>143</v>
      </c>
      <c r="B113" s="9">
        <v>60</v>
      </c>
      <c r="C113" s="9" t="s">
        <v>3</v>
      </c>
      <c r="D113" s="9" t="s">
        <v>151</v>
      </c>
      <c r="E113" s="13" t="s">
        <v>303</v>
      </c>
      <c r="F113" s="9" t="s">
        <v>20</v>
      </c>
      <c r="G113" s="9" t="s">
        <v>21</v>
      </c>
      <c r="H113" s="9" t="s">
        <v>75</v>
      </c>
      <c r="I113" s="10">
        <f t="shared" si="2"/>
        <v>46015</v>
      </c>
      <c r="J113" s="9"/>
      <c r="K113" s="9">
        <f t="shared" si="3"/>
        <v>0</v>
      </c>
      <c r="L113" s="12">
        <v>0</v>
      </c>
      <c r="M113" s="12"/>
      <c r="N113" s="12"/>
      <c r="O113" s="12"/>
      <c r="P113" s="33"/>
      <c r="Q113" s="12"/>
    </row>
    <row r="114" spans="1:20" s="8" customFormat="1" ht="15" x14ac:dyDescent="0.25">
      <c r="A114" s="9" t="s">
        <v>152</v>
      </c>
      <c r="B114" s="9">
        <v>62</v>
      </c>
      <c r="C114" s="9" t="s">
        <v>3</v>
      </c>
      <c r="D114" s="9" t="s">
        <v>153</v>
      </c>
      <c r="E114" s="13" t="s">
        <v>303</v>
      </c>
      <c r="F114" s="9" t="s">
        <v>20</v>
      </c>
      <c r="G114" s="9" t="s">
        <v>21</v>
      </c>
      <c r="H114" s="9" t="s">
        <v>13</v>
      </c>
      <c r="I114" s="10">
        <f t="shared" si="2"/>
        <v>45973</v>
      </c>
      <c r="J114" s="9"/>
      <c r="K114" s="9">
        <f t="shared" si="3"/>
        <v>80</v>
      </c>
      <c r="L114" s="12">
        <v>20</v>
      </c>
      <c r="M114" s="12">
        <v>40</v>
      </c>
      <c r="N114" s="12">
        <v>60</v>
      </c>
      <c r="O114" s="12">
        <v>80</v>
      </c>
      <c r="P114" s="33"/>
      <c r="Q114" s="12"/>
    </row>
    <row r="115" spans="1:20" s="8" customFormat="1" ht="15" x14ac:dyDescent="0.25">
      <c r="A115" s="9" t="s">
        <v>152</v>
      </c>
      <c r="B115" s="9">
        <v>63</v>
      </c>
      <c r="C115" s="9" t="s">
        <v>3</v>
      </c>
      <c r="D115" s="9" t="s">
        <v>154</v>
      </c>
      <c r="E115" s="13" t="s">
        <v>303</v>
      </c>
      <c r="F115" s="9" t="s">
        <v>20</v>
      </c>
      <c r="G115" s="9" t="s">
        <v>21</v>
      </c>
      <c r="H115" s="9" t="s">
        <v>70</v>
      </c>
      <c r="I115" s="10">
        <f t="shared" si="2"/>
        <v>46015</v>
      </c>
      <c r="J115" s="9"/>
      <c r="K115" s="9">
        <f t="shared" si="3"/>
        <v>40</v>
      </c>
      <c r="L115" s="12">
        <v>5</v>
      </c>
      <c r="M115" s="12">
        <v>10</v>
      </c>
      <c r="N115" s="12">
        <v>20</v>
      </c>
      <c r="O115" s="12">
        <v>40</v>
      </c>
      <c r="P115" s="33"/>
      <c r="Q115" s="12"/>
    </row>
    <row r="116" spans="1:20" s="8" customFormat="1" ht="15" x14ac:dyDescent="0.25">
      <c r="A116" s="9" t="s">
        <v>152</v>
      </c>
      <c r="B116" s="9">
        <v>63</v>
      </c>
      <c r="C116" s="9" t="s">
        <v>3</v>
      </c>
      <c r="D116" s="9" t="s">
        <v>155</v>
      </c>
      <c r="E116" s="13" t="s">
        <v>303</v>
      </c>
      <c r="F116" s="9" t="s">
        <v>20</v>
      </c>
      <c r="G116" s="9" t="s">
        <v>21</v>
      </c>
      <c r="H116" s="9" t="s">
        <v>70</v>
      </c>
      <c r="I116" s="10">
        <f t="shared" si="2"/>
        <v>46015</v>
      </c>
      <c r="J116" s="9"/>
      <c r="K116" s="9">
        <f t="shared" si="3"/>
        <v>20</v>
      </c>
      <c r="L116" s="12">
        <v>5</v>
      </c>
      <c r="M116" s="12">
        <v>10</v>
      </c>
      <c r="N116" s="12">
        <v>20</v>
      </c>
      <c r="O116" s="12">
        <v>20</v>
      </c>
      <c r="P116" s="33"/>
      <c r="Q116" s="12"/>
    </row>
    <row r="117" spans="1:20" s="8" customFormat="1" ht="15" x14ac:dyDescent="0.25">
      <c r="A117" s="9" t="s">
        <v>17</v>
      </c>
      <c r="B117" s="9">
        <v>63</v>
      </c>
      <c r="C117" s="9" t="s">
        <v>18</v>
      </c>
      <c r="D117" s="9" t="s">
        <v>156</v>
      </c>
      <c r="E117" s="13" t="s">
        <v>303</v>
      </c>
      <c r="F117" s="9" t="s">
        <v>20</v>
      </c>
      <c r="G117" s="9" t="s">
        <v>21</v>
      </c>
      <c r="H117" s="9" t="s">
        <v>15</v>
      </c>
      <c r="I117" s="10">
        <f t="shared" si="2"/>
        <v>46000</v>
      </c>
      <c r="J117" s="9"/>
      <c r="K117" s="9">
        <v>70</v>
      </c>
      <c r="L117" s="12">
        <v>25</v>
      </c>
      <c r="M117" s="12">
        <v>25</v>
      </c>
      <c r="N117" s="12">
        <v>25</v>
      </c>
      <c r="O117" s="12">
        <v>90</v>
      </c>
      <c r="P117" s="33">
        <v>100</v>
      </c>
      <c r="Q117" s="12"/>
      <c r="R117" s="38"/>
      <c r="S117" s="38"/>
      <c r="T117" s="38"/>
    </row>
    <row r="118" spans="1:20" s="16" customFormat="1" ht="15" x14ac:dyDescent="0.25">
      <c r="A118" s="13" t="s">
        <v>40</v>
      </c>
      <c r="B118" s="9">
        <v>63</v>
      </c>
      <c r="C118" s="9" t="s">
        <v>3</v>
      </c>
      <c r="D118" s="9" t="s">
        <v>157</v>
      </c>
      <c r="E118" s="13" t="s">
        <v>303</v>
      </c>
      <c r="F118" s="9" t="s">
        <v>20</v>
      </c>
      <c r="G118" s="9" t="s">
        <v>21</v>
      </c>
      <c r="H118" s="9" t="s">
        <v>11</v>
      </c>
      <c r="I118" s="10">
        <f t="shared" si="2"/>
        <v>45944</v>
      </c>
      <c r="J118" s="9"/>
      <c r="K118" s="9">
        <f t="shared" si="3"/>
        <v>100</v>
      </c>
      <c r="L118" s="12">
        <v>60</v>
      </c>
      <c r="M118" s="12">
        <v>60</v>
      </c>
      <c r="N118" s="12">
        <v>80</v>
      </c>
      <c r="O118" s="12">
        <v>90</v>
      </c>
      <c r="P118" s="33">
        <v>100</v>
      </c>
      <c r="Q118" s="12"/>
      <c r="R118" s="38"/>
      <c r="S118" s="38"/>
      <c r="T118" s="38"/>
    </row>
    <row r="119" spans="1:20" s="16" customFormat="1" ht="15" x14ac:dyDescent="0.25">
      <c r="A119" s="13" t="s">
        <v>40</v>
      </c>
      <c r="B119" s="9">
        <v>63</v>
      </c>
      <c r="C119" s="9" t="s">
        <v>3</v>
      </c>
      <c r="D119" s="9" t="s">
        <v>158</v>
      </c>
      <c r="E119" s="13" t="s">
        <v>303</v>
      </c>
      <c r="F119" s="9" t="s">
        <v>20</v>
      </c>
      <c r="G119" s="9" t="s">
        <v>21</v>
      </c>
      <c r="H119" s="9" t="s">
        <v>70</v>
      </c>
      <c r="I119" s="10">
        <f t="shared" si="2"/>
        <v>46015</v>
      </c>
      <c r="J119" s="9"/>
      <c r="K119" s="9">
        <f t="shared" si="3"/>
        <v>30</v>
      </c>
      <c r="L119" s="12">
        <v>0</v>
      </c>
      <c r="M119" s="12">
        <v>0</v>
      </c>
      <c r="N119" s="12">
        <v>20</v>
      </c>
      <c r="O119" s="12">
        <v>30</v>
      </c>
      <c r="P119" s="33"/>
      <c r="Q119" s="12"/>
    </row>
    <row r="120" spans="1:20" s="8" customFormat="1" ht="15" x14ac:dyDescent="0.25">
      <c r="A120" s="9" t="s">
        <v>35</v>
      </c>
      <c r="B120" s="9">
        <v>64</v>
      </c>
      <c r="C120" s="9" t="s">
        <v>3</v>
      </c>
      <c r="D120" s="9" t="s">
        <v>159</v>
      </c>
      <c r="E120" s="13" t="s">
        <v>303</v>
      </c>
      <c r="F120" s="9" t="s">
        <v>20</v>
      </c>
      <c r="G120" s="9" t="s">
        <v>21</v>
      </c>
      <c r="H120" s="9" t="s">
        <v>15</v>
      </c>
      <c r="I120" s="10">
        <f t="shared" si="2"/>
        <v>46000</v>
      </c>
      <c r="J120" s="9"/>
      <c r="K120" s="9">
        <f t="shared" si="3"/>
        <v>30</v>
      </c>
      <c r="L120" s="12">
        <v>10</v>
      </c>
      <c r="M120" s="12">
        <v>20</v>
      </c>
      <c r="N120" s="12">
        <v>25</v>
      </c>
      <c r="O120" s="12">
        <v>30</v>
      </c>
      <c r="P120" s="33"/>
      <c r="Q120" s="12"/>
    </row>
    <row r="121" spans="1:20" s="8" customFormat="1" ht="15" x14ac:dyDescent="0.25">
      <c r="A121" s="9" t="s">
        <v>143</v>
      </c>
      <c r="B121" s="9">
        <v>65</v>
      </c>
      <c r="C121" s="9" t="s">
        <v>3</v>
      </c>
      <c r="D121" s="9" t="s">
        <v>160</v>
      </c>
      <c r="E121" s="13" t="s">
        <v>303</v>
      </c>
      <c r="F121" s="9" t="s">
        <v>20</v>
      </c>
      <c r="G121" s="9" t="s">
        <v>21</v>
      </c>
      <c r="H121" s="9" t="s">
        <v>25</v>
      </c>
      <c r="I121" s="10">
        <f t="shared" si="2"/>
        <v>46015</v>
      </c>
      <c r="J121" s="9"/>
      <c r="K121" s="9">
        <f t="shared" si="3"/>
        <v>0</v>
      </c>
      <c r="L121" s="12">
        <v>0</v>
      </c>
      <c r="M121" s="12"/>
      <c r="N121" s="12"/>
      <c r="O121" s="12"/>
      <c r="P121" s="33"/>
      <c r="Q121" s="12"/>
    </row>
    <row r="122" spans="1:20" s="8" customFormat="1" ht="15" x14ac:dyDescent="0.25">
      <c r="A122" s="9" t="s">
        <v>143</v>
      </c>
      <c r="B122" s="9">
        <v>66</v>
      </c>
      <c r="C122" s="9" t="s">
        <v>3</v>
      </c>
      <c r="D122" s="9" t="s">
        <v>161</v>
      </c>
      <c r="E122" s="13" t="s">
        <v>303</v>
      </c>
      <c r="F122" s="9" t="s">
        <v>20</v>
      </c>
      <c r="G122" s="9" t="s">
        <v>21</v>
      </c>
      <c r="H122" s="9" t="s">
        <v>25</v>
      </c>
      <c r="I122" s="10">
        <f t="shared" si="2"/>
        <v>46015</v>
      </c>
      <c r="J122" s="9"/>
      <c r="K122" s="9">
        <f t="shared" si="3"/>
        <v>0</v>
      </c>
      <c r="L122" s="12">
        <v>0</v>
      </c>
      <c r="M122" s="12"/>
      <c r="N122" s="12"/>
      <c r="O122" s="12"/>
      <c r="P122" s="33"/>
      <c r="Q122" s="12"/>
    </row>
    <row r="123" spans="1:20" s="16" customFormat="1" ht="15" x14ac:dyDescent="0.25">
      <c r="A123" s="13" t="s">
        <v>40</v>
      </c>
      <c r="B123" s="9">
        <v>68</v>
      </c>
      <c r="C123" s="9" t="s">
        <v>3</v>
      </c>
      <c r="D123" s="9" t="s">
        <v>162</v>
      </c>
      <c r="E123" s="13" t="s">
        <v>303</v>
      </c>
      <c r="F123" s="9" t="s">
        <v>20</v>
      </c>
      <c r="G123" s="9" t="s">
        <v>21</v>
      </c>
      <c r="H123" s="9" t="s">
        <v>25</v>
      </c>
      <c r="I123" s="10">
        <f t="shared" si="2"/>
        <v>46015</v>
      </c>
      <c r="J123" s="9"/>
      <c r="K123" s="9">
        <f t="shared" si="3"/>
        <v>0</v>
      </c>
      <c r="L123" s="12">
        <v>0</v>
      </c>
      <c r="M123" s="12">
        <v>0</v>
      </c>
      <c r="N123" s="12">
        <v>0</v>
      </c>
      <c r="O123" s="12">
        <v>0</v>
      </c>
      <c r="P123" s="33"/>
      <c r="Q123" s="12"/>
    </row>
    <row r="124" spans="1:20" s="8" customFormat="1" ht="15" x14ac:dyDescent="0.25">
      <c r="A124" s="9" t="s">
        <v>76</v>
      </c>
      <c r="B124" s="9">
        <v>69</v>
      </c>
      <c r="C124" s="9" t="s">
        <v>3</v>
      </c>
      <c r="D124" s="9" t="s">
        <v>163</v>
      </c>
      <c r="E124" s="13" t="s">
        <v>303</v>
      </c>
      <c r="F124" s="9" t="s">
        <v>20</v>
      </c>
      <c r="G124" s="9" t="s">
        <v>21</v>
      </c>
      <c r="H124" s="9" t="s">
        <v>25</v>
      </c>
      <c r="I124" s="10">
        <f t="shared" si="2"/>
        <v>46015</v>
      </c>
      <c r="J124" s="9"/>
      <c r="K124" s="9">
        <f t="shared" si="3"/>
        <v>30</v>
      </c>
      <c r="L124" s="12">
        <v>0</v>
      </c>
      <c r="M124" s="12">
        <v>25</v>
      </c>
      <c r="N124" s="12">
        <v>25</v>
      </c>
      <c r="O124" s="12">
        <v>30</v>
      </c>
      <c r="P124" s="33"/>
      <c r="Q124" s="12"/>
    </row>
    <row r="125" spans="1:20" s="8" customFormat="1" ht="15" x14ac:dyDescent="0.25">
      <c r="A125" s="9" t="s">
        <v>35</v>
      </c>
      <c r="B125" s="9">
        <v>69</v>
      </c>
      <c r="C125" s="9" t="s">
        <v>3</v>
      </c>
      <c r="D125" s="9" t="s">
        <v>164</v>
      </c>
      <c r="E125" s="13" t="s">
        <v>303</v>
      </c>
      <c r="F125" s="9" t="s">
        <v>20</v>
      </c>
      <c r="G125" s="9" t="s">
        <v>21</v>
      </c>
      <c r="H125" s="9" t="s">
        <v>75</v>
      </c>
      <c r="I125" s="10">
        <f t="shared" si="2"/>
        <v>46015</v>
      </c>
      <c r="J125" s="9"/>
      <c r="K125" s="9">
        <f t="shared" si="3"/>
        <v>70</v>
      </c>
      <c r="L125" s="12">
        <v>20</v>
      </c>
      <c r="M125" s="12">
        <v>40</v>
      </c>
      <c r="N125" s="12">
        <v>60</v>
      </c>
      <c r="O125" s="12">
        <v>70</v>
      </c>
      <c r="P125" s="33"/>
      <c r="Q125" s="12"/>
    </row>
    <row r="126" spans="1:20" s="8" customFormat="1" ht="15" x14ac:dyDescent="0.25">
      <c r="A126" s="9" t="s">
        <v>35</v>
      </c>
      <c r="B126" s="9">
        <v>69</v>
      </c>
      <c r="C126" s="9" t="s">
        <v>3</v>
      </c>
      <c r="D126" s="9" t="s">
        <v>165</v>
      </c>
      <c r="E126" s="13" t="s">
        <v>303</v>
      </c>
      <c r="F126" s="9" t="s">
        <v>20</v>
      </c>
      <c r="G126" s="9" t="s">
        <v>21</v>
      </c>
      <c r="H126" s="9" t="s">
        <v>75</v>
      </c>
      <c r="I126" s="10">
        <f t="shared" si="2"/>
        <v>46015</v>
      </c>
      <c r="J126" s="9"/>
      <c r="K126" s="9">
        <f t="shared" si="3"/>
        <v>70</v>
      </c>
      <c r="L126" s="12">
        <v>20</v>
      </c>
      <c r="M126" s="12">
        <v>40</v>
      </c>
      <c r="N126" s="12">
        <v>60</v>
      </c>
      <c r="O126" s="12">
        <v>70</v>
      </c>
      <c r="P126" s="33"/>
      <c r="Q126" s="12"/>
    </row>
    <row r="127" spans="1:20" s="16" customFormat="1" ht="15" x14ac:dyDescent="0.25">
      <c r="A127" s="13" t="s">
        <v>40</v>
      </c>
      <c r="B127" s="9">
        <v>69</v>
      </c>
      <c r="C127" s="9" t="s">
        <v>3</v>
      </c>
      <c r="D127" s="9" t="s">
        <v>166</v>
      </c>
      <c r="E127" s="13" t="s">
        <v>303</v>
      </c>
      <c r="F127" s="9" t="s">
        <v>20</v>
      </c>
      <c r="G127" s="9" t="s">
        <v>21</v>
      </c>
      <c r="H127" s="9" t="s">
        <v>75</v>
      </c>
      <c r="I127" s="10">
        <f t="shared" si="2"/>
        <v>46015</v>
      </c>
      <c r="J127" s="9"/>
      <c r="K127" s="9">
        <f t="shared" si="3"/>
        <v>27</v>
      </c>
      <c r="L127" s="12">
        <v>0</v>
      </c>
      <c r="M127" s="12">
        <v>27</v>
      </c>
      <c r="N127" s="12">
        <v>18</v>
      </c>
      <c r="O127" s="12">
        <v>25</v>
      </c>
      <c r="P127" s="33"/>
      <c r="Q127" s="12"/>
    </row>
    <row r="128" spans="1:20" s="8" customFormat="1" ht="15" x14ac:dyDescent="0.25">
      <c r="A128" s="9" t="s">
        <v>35</v>
      </c>
      <c r="B128" s="9">
        <v>69</v>
      </c>
      <c r="C128" s="9" t="s">
        <v>3</v>
      </c>
      <c r="D128" s="9" t="s">
        <v>167</v>
      </c>
      <c r="E128" s="13" t="s">
        <v>303</v>
      </c>
      <c r="F128" s="9" t="s">
        <v>20</v>
      </c>
      <c r="G128" s="9" t="s">
        <v>21</v>
      </c>
      <c r="H128" s="9" t="s">
        <v>75</v>
      </c>
      <c r="I128" s="10">
        <f t="shared" si="2"/>
        <v>46015</v>
      </c>
      <c r="J128" s="9"/>
      <c r="K128" s="9">
        <f t="shared" si="3"/>
        <v>70</v>
      </c>
      <c r="L128" s="12">
        <v>20</v>
      </c>
      <c r="M128" s="12">
        <v>40</v>
      </c>
      <c r="N128" s="12">
        <v>60</v>
      </c>
      <c r="O128" s="12">
        <v>70</v>
      </c>
      <c r="P128" s="33"/>
      <c r="Q128" s="12"/>
    </row>
    <row r="129" spans="1:20" s="8" customFormat="1" ht="15" x14ac:dyDescent="0.25">
      <c r="A129" s="9" t="s">
        <v>35</v>
      </c>
      <c r="B129" s="9">
        <v>69</v>
      </c>
      <c r="C129" s="9" t="s">
        <v>3</v>
      </c>
      <c r="D129" s="9" t="s">
        <v>168</v>
      </c>
      <c r="E129" s="13" t="s">
        <v>303</v>
      </c>
      <c r="F129" s="9" t="s">
        <v>20</v>
      </c>
      <c r="G129" s="9" t="s">
        <v>21</v>
      </c>
      <c r="H129" s="9" t="s">
        <v>75</v>
      </c>
      <c r="I129" s="10">
        <f t="shared" si="2"/>
        <v>46015</v>
      </c>
      <c r="J129" s="9"/>
      <c r="K129" s="9">
        <f t="shared" si="3"/>
        <v>70</v>
      </c>
      <c r="L129" s="12">
        <v>20</v>
      </c>
      <c r="M129" s="12">
        <v>40</v>
      </c>
      <c r="N129" s="12">
        <v>60</v>
      </c>
      <c r="O129" s="12">
        <v>70</v>
      </c>
      <c r="P129" s="33"/>
      <c r="Q129" s="12"/>
    </row>
    <row r="130" spans="1:20" s="8" customFormat="1" ht="15" x14ac:dyDescent="0.25">
      <c r="A130" s="9" t="s">
        <v>35</v>
      </c>
      <c r="B130" s="9">
        <v>69</v>
      </c>
      <c r="C130" s="9" t="s">
        <v>3</v>
      </c>
      <c r="D130" s="9" t="s">
        <v>169</v>
      </c>
      <c r="E130" s="13" t="s">
        <v>303</v>
      </c>
      <c r="F130" s="9" t="s">
        <v>20</v>
      </c>
      <c r="G130" s="9" t="s">
        <v>21</v>
      </c>
      <c r="H130" s="9" t="s">
        <v>75</v>
      </c>
      <c r="I130" s="10">
        <f t="shared" si="2"/>
        <v>46015</v>
      </c>
      <c r="J130" s="9"/>
      <c r="K130" s="9">
        <f t="shared" si="3"/>
        <v>70</v>
      </c>
      <c r="L130" s="12">
        <v>20</v>
      </c>
      <c r="M130" s="12">
        <v>40</v>
      </c>
      <c r="N130" s="12">
        <v>60</v>
      </c>
      <c r="O130" s="12">
        <v>70</v>
      </c>
      <c r="P130" s="33"/>
      <c r="Q130" s="12"/>
    </row>
    <row r="131" spans="1:20" s="8" customFormat="1" ht="15" x14ac:dyDescent="0.25">
      <c r="A131" s="9" t="s">
        <v>76</v>
      </c>
      <c r="B131" s="9">
        <v>69</v>
      </c>
      <c r="C131" s="9" t="s">
        <v>3</v>
      </c>
      <c r="D131" s="9" t="s">
        <v>170</v>
      </c>
      <c r="E131" s="13" t="s">
        <v>303</v>
      </c>
      <c r="F131" s="9" t="s">
        <v>20</v>
      </c>
      <c r="G131" s="9" t="s">
        <v>21</v>
      </c>
      <c r="H131" s="9" t="s">
        <v>25</v>
      </c>
      <c r="I131" s="10">
        <f t="shared" ref="I131:I194" si="4">IF(H131="S1",DATE(2025,10,14),IF(H131="S2",DATE(2025,10,28),IF(H131="S3",DATE(2025,11,12),IF(H131="S4",DATE(2025,11,25),IF(H131="S5",DATE(2025,12,9),IF(H131="S6",DATE(2025,12,24),IF(H131="S6",DATE(2025,12,24),IF(H131="IP",DATE(2025,12,24),IF(H131="UNC",DATE(2025,12,24),"")))))))))</f>
        <v>46015</v>
      </c>
      <c r="J131" s="9"/>
      <c r="K131" s="9">
        <f t="shared" ref="K131:K198" si="5">MAX(L131:Q131)</f>
        <v>64</v>
      </c>
      <c r="L131" s="12">
        <v>23</v>
      </c>
      <c r="M131" s="12">
        <v>52</v>
      </c>
      <c r="N131" s="12">
        <v>51</v>
      </c>
      <c r="O131" s="12">
        <v>64</v>
      </c>
      <c r="P131" s="33"/>
      <c r="Q131" s="12"/>
    </row>
    <row r="132" spans="1:20" s="8" customFormat="1" ht="15" x14ac:dyDescent="0.25">
      <c r="A132" s="9" t="s">
        <v>152</v>
      </c>
      <c r="B132" s="9">
        <v>69</v>
      </c>
      <c r="C132" s="9" t="s">
        <v>3</v>
      </c>
      <c r="D132" s="9" t="s">
        <v>171</v>
      </c>
      <c r="E132" s="13" t="s">
        <v>303</v>
      </c>
      <c r="F132" s="9" t="s">
        <v>20</v>
      </c>
      <c r="G132" s="9" t="s">
        <v>21</v>
      </c>
      <c r="H132" s="9" t="s">
        <v>75</v>
      </c>
      <c r="I132" s="10">
        <f t="shared" si="4"/>
        <v>46015</v>
      </c>
      <c r="J132" s="9"/>
      <c r="K132" s="9">
        <f t="shared" si="5"/>
        <v>80</v>
      </c>
      <c r="L132" s="12">
        <v>20</v>
      </c>
      <c r="M132" s="12">
        <v>40</v>
      </c>
      <c r="N132" s="12">
        <v>60</v>
      </c>
      <c r="O132" s="12">
        <v>80</v>
      </c>
      <c r="P132" s="33"/>
      <c r="Q132" s="12"/>
    </row>
    <row r="133" spans="1:20" s="8" customFormat="1" ht="15" x14ac:dyDescent="0.25">
      <c r="A133" s="9" t="s">
        <v>152</v>
      </c>
      <c r="B133" s="9">
        <v>69</v>
      </c>
      <c r="C133" s="9" t="s">
        <v>3</v>
      </c>
      <c r="D133" s="9" t="s">
        <v>172</v>
      </c>
      <c r="E133" s="13" t="s">
        <v>303</v>
      </c>
      <c r="F133" s="9" t="s">
        <v>20</v>
      </c>
      <c r="G133" s="9" t="s">
        <v>21</v>
      </c>
      <c r="H133" s="9" t="s">
        <v>70</v>
      </c>
      <c r="I133" s="10">
        <f t="shared" si="4"/>
        <v>46015</v>
      </c>
      <c r="J133" s="9"/>
      <c r="K133" s="9">
        <f t="shared" si="5"/>
        <v>80</v>
      </c>
      <c r="L133" s="12">
        <v>20</v>
      </c>
      <c r="M133" s="12">
        <v>40</v>
      </c>
      <c r="N133" s="12">
        <v>60</v>
      </c>
      <c r="O133" s="12">
        <v>80</v>
      </c>
      <c r="P133" s="33"/>
      <c r="Q133" s="12"/>
    </row>
    <row r="134" spans="1:20" s="8" customFormat="1" ht="15" x14ac:dyDescent="0.25">
      <c r="A134" s="9" t="s">
        <v>35</v>
      </c>
      <c r="B134" s="9">
        <v>69</v>
      </c>
      <c r="C134" s="9" t="s">
        <v>3</v>
      </c>
      <c r="D134" s="9" t="s">
        <v>173</v>
      </c>
      <c r="E134" s="13" t="s">
        <v>303</v>
      </c>
      <c r="F134" s="9" t="s">
        <v>20</v>
      </c>
      <c r="G134" s="9" t="s">
        <v>21</v>
      </c>
      <c r="H134" s="9" t="s">
        <v>75</v>
      </c>
      <c r="I134" s="10">
        <f t="shared" si="4"/>
        <v>46015</v>
      </c>
      <c r="J134" s="9"/>
      <c r="K134" s="9">
        <f t="shared" si="5"/>
        <v>70</v>
      </c>
      <c r="L134" s="12">
        <v>20</v>
      </c>
      <c r="M134" s="12">
        <v>40</v>
      </c>
      <c r="N134" s="12">
        <v>60</v>
      </c>
      <c r="O134" s="12">
        <v>70</v>
      </c>
      <c r="P134" s="33"/>
      <c r="Q134" s="12"/>
    </row>
    <row r="135" spans="1:20" s="8" customFormat="1" ht="15" x14ac:dyDescent="0.25">
      <c r="A135" s="9" t="s">
        <v>35</v>
      </c>
      <c r="B135" s="9">
        <v>69</v>
      </c>
      <c r="C135" s="9" t="s">
        <v>3</v>
      </c>
      <c r="D135" s="9" t="s">
        <v>174</v>
      </c>
      <c r="E135" s="13" t="s">
        <v>303</v>
      </c>
      <c r="F135" s="9" t="s">
        <v>20</v>
      </c>
      <c r="G135" s="9" t="s">
        <v>21</v>
      </c>
      <c r="H135" s="9" t="s">
        <v>75</v>
      </c>
      <c r="I135" s="10">
        <f t="shared" si="4"/>
        <v>46015</v>
      </c>
      <c r="J135" s="9"/>
      <c r="K135" s="9">
        <f t="shared" si="5"/>
        <v>70</v>
      </c>
      <c r="L135" s="12">
        <v>20</v>
      </c>
      <c r="M135" s="12">
        <v>40</v>
      </c>
      <c r="N135" s="12">
        <v>60</v>
      </c>
      <c r="O135" s="12">
        <v>70</v>
      </c>
      <c r="P135" s="33"/>
      <c r="Q135" s="12"/>
    </row>
    <row r="136" spans="1:20" s="8" customFormat="1" ht="15" x14ac:dyDescent="0.25">
      <c r="A136" s="9" t="s">
        <v>35</v>
      </c>
      <c r="B136" s="9">
        <v>69</v>
      </c>
      <c r="C136" s="9" t="s">
        <v>3</v>
      </c>
      <c r="D136" s="9" t="s">
        <v>175</v>
      </c>
      <c r="E136" s="13" t="s">
        <v>303</v>
      </c>
      <c r="F136" s="9" t="s">
        <v>20</v>
      </c>
      <c r="G136" s="9" t="s">
        <v>21</v>
      </c>
      <c r="H136" s="9" t="s">
        <v>75</v>
      </c>
      <c r="I136" s="10">
        <f t="shared" si="4"/>
        <v>46015</v>
      </c>
      <c r="J136" s="9"/>
      <c r="K136" s="9">
        <f t="shared" si="5"/>
        <v>70</v>
      </c>
      <c r="L136" s="12">
        <v>20</v>
      </c>
      <c r="M136" s="12">
        <v>40</v>
      </c>
      <c r="N136" s="12">
        <v>60</v>
      </c>
      <c r="O136" s="12">
        <v>70</v>
      </c>
      <c r="P136" s="33"/>
      <c r="Q136" s="12"/>
    </row>
    <row r="137" spans="1:20" s="8" customFormat="1" ht="15" x14ac:dyDescent="0.25">
      <c r="A137" s="9" t="s">
        <v>35</v>
      </c>
      <c r="B137" s="9">
        <v>69</v>
      </c>
      <c r="C137" s="9" t="s">
        <v>3</v>
      </c>
      <c r="D137" s="9" t="s">
        <v>176</v>
      </c>
      <c r="E137" s="13" t="s">
        <v>303</v>
      </c>
      <c r="F137" s="9" t="s">
        <v>20</v>
      </c>
      <c r="G137" s="9" t="s">
        <v>21</v>
      </c>
      <c r="H137" s="9" t="s">
        <v>75</v>
      </c>
      <c r="I137" s="10">
        <f t="shared" si="4"/>
        <v>46015</v>
      </c>
      <c r="J137" s="9"/>
      <c r="K137" s="9">
        <f t="shared" si="5"/>
        <v>70</v>
      </c>
      <c r="L137" s="12">
        <v>20</v>
      </c>
      <c r="M137" s="12">
        <v>40</v>
      </c>
      <c r="N137" s="12">
        <v>60</v>
      </c>
      <c r="O137" s="12">
        <v>70</v>
      </c>
      <c r="P137" s="33"/>
      <c r="Q137" s="12"/>
    </row>
    <row r="138" spans="1:20" s="8" customFormat="1" ht="15" x14ac:dyDescent="0.25">
      <c r="A138" s="9" t="s">
        <v>152</v>
      </c>
      <c r="B138" s="9">
        <v>69</v>
      </c>
      <c r="C138" s="9" t="s">
        <v>3</v>
      </c>
      <c r="D138" s="9" t="s">
        <v>177</v>
      </c>
      <c r="E138" s="13" t="s">
        <v>303</v>
      </c>
      <c r="F138" s="9" t="s">
        <v>20</v>
      </c>
      <c r="G138" s="9" t="s">
        <v>21</v>
      </c>
      <c r="H138" s="9" t="s">
        <v>25</v>
      </c>
      <c r="I138" s="10">
        <f t="shared" si="4"/>
        <v>46015</v>
      </c>
      <c r="J138" s="9"/>
      <c r="K138" s="9">
        <f t="shared" si="5"/>
        <v>80</v>
      </c>
      <c r="L138" s="12">
        <v>20</v>
      </c>
      <c r="M138" s="12">
        <v>40</v>
      </c>
      <c r="N138" s="12">
        <v>60</v>
      </c>
      <c r="O138" s="12">
        <v>80</v>
      </c>
      <c r="P138" s="33"/>
      <c r="Q138" s="12"/>
    </row>
    <row r="139" spans="1:20" s="8" customFormat="1" ht="15" x14ac:dyDescent="0.25">
      <c r="A139" s="9" t="s">
        <v>152</v>
      </c>
      <c r="B139" s="9">
        <v>69</v>
      </c>
      <c r="C139" s="9" t="s">
        <v>3</v>
      </c>
      <c r="D139" s="9" t="s">
        <v>178</v>
      </c>
      <c r="E139" s="13" t="s">
        <v>303</v>
      </c>
      <c r="F139" s="9" t="s">
        <v>20</v>
      </c>
      <c r="G139" s="9" t="s">
        <v>21</v>
      </c>
      <c r="H139" s="9" t="s">
        <v>25</v>
      </c>
      <c r="I139" s="10">
        <f t="shared" si="4"/>
        <v>46015</v>
      </c>
      <c r="J139" s="9"/>
      <c r="K139" s="9">
        <f t="shared" si="5"/>
        <v>80</v>
      </c>
      <c r="L139" s="12">
        <v>20</v>
      </c>
      <c r="M139" s="12">
        <v>40</v>
      </c>
      <c r="N139" s="12">
        <v>60</v>
      </c>
      <c r="O139" s="12">
        <v>80</v>
      </c>
      <c r="P139" s="33"/>
      <c r="Q139" s="12"/>
    </row>
    <row r="140" spans="1:20" s="8" customFormat="1" ht="15" x14ac:dyDescent="0.25">
      <c r="A140" s="9" t="s">
        <v>35</v>
      </c>
      <c r="B140" s="9">
        <v>69</v>
      </c>
      <c r="C140" s="9" t="s">
        <v>3</v>
      </c>
      <c r="D140" s="9" t="s">
        <v>179</v>
      </c>
      <c r="E140" s="13" t="s">
        <v>303</v>
      </c>
      <c r="F140" s="9" t="s">
        <v>20</v>
      </c>
      <c r="G140" s="9" t="s">
        <v>21</v>
      </c>
      <c r="H140" s="9" t="s">
        <v>14</v>
      </c>
      <c r="I140" s="10">
        <f t="shared" si="4"/>
        <v>45986</v>
      </c>
      <c r="J140" s="9"/>
      <c r="K140" s="9">
        <f t="shared" si="5"/>
        <v>40</v>
      </c>
      <c r="L140" s="12">
        <v>15</v>
      </c>
      <c r="M140" s="12">
        <v>30</v>
      </c>
      <c r="N140" s="12">
        <v>35</v>
      </c>
      <c r="O140" s="12">
        <v>40</v>
      </c>
      <c r="P140" s="33"/>
      <c r="Q140" s="12"/>
    </row>
    <row r="141" spans="1:20" s="8" customFormat="1" ht="15" x14ac:dyDescent="0.25">
      <c r="A141" s="9" t="s">
        <v>35</v>
      </c>
      <c r="B141" s="9">
        <v>69</v>
      </c>
      <c r="C141" s="9" t="s">
        <v>3</v>
      </c>
      <c r="D141" s="9" t="s">
        <v>180</v>
      </c>
      <c r="E141" s="13" t="s">
        <v>303</v>
      </c>
      <c r="F141" s="9" t="s">
        <v>20</v>
      </c>
      <c r="G141" s="9" t="s">
        <v>21</v>
      </c>
      <c r="H141" s="9" t="s">
        <v>12</v>
      </c>
      <c r="I141" s="10">
        <f t="shared" si="4"/>
        <v>45958</v>
      </c>
      <c r="J141" s="9"/>
      <c r="K141" s="9">
        <f t="shared" si="5"/>
        <v>15</v>
      </c>
      <c r="L141" s="12">
        <v>0</v>
      </c>
      <c r="M141" s="12">
        <v>0</v>
      </c>
      <c r="N141" s="12">
        <v>5</v>
      </c>
      <c r="O141" s="12">
        <v>15</v>
      </c>
      <c r="P141" s="33"/>
      <c r="Q141" s="12"/>
    </row>
    <row r="142" spans="1:20" s="8" customFormat="1" ht="15" x14ac:dyDescent="0.25">
      <c r="A142" s="9" t="s">
        <v>143</v>
      </c>
      <c r="B142" s="9">
        <v>71</v>
      </c>
      <c r="C142" s="9" t="s">
        <v>3</v>
      </c>
      <c r="D142" s="9" t="s">
        <v>181</v>
      </c>
      <c r="E142" s="13" t="s">
        <v>303</v>
      </c>
      <c r="F142" s="9" t="s">
        <v>20</v>
      </c>
      <c r="G142" s="9" t="s">
        <v>21</v>
      </c>
      <c r="H142" s="9" t="s">
        <v>75</v>
      </c>
      <c r="I142" s="10">
        <f t="shared" si="4"/>
        <v>46015</v>
      </c>
      <c r="J142" s="9"/>
      <c r="K142" s="9">
        <f t="shared" si="5"/>
        <v>0</v>
      </c>
      <c r="L142" s="12">
        <v>0</v>
      </c>
      <c r="M142" s="12"/>
      <c r="N142" s="12"/>
      <c r="O142" s="12"/>
      <c r="P142" s="33"/>
      <c r="Q142" s="12"/>
    </row>
    <row r="143" spans="1:20" s="8" customFormat="1" ht="15" x14ac:dyDescent="0.25">
      <c r="A143" s="9" t="s">
        <v>17</v>
      </c>
      <c r="B143" s="9">
        <v>72</v>
      </c>
      <c r="C143" s="9" t="s">
        <v>18</v>
      </c>
      <c r="D143" s="9" t="s">
        <v>182</v>
      </c>
      <c r="E143" s="13" t="s">
        <v>303</v>
      </c>
      <c r="F143" s="9" t="s">
        <v>20</v>
      </c>
      <c r="G143" s="9" t="s">
        <v>21</v>
      </c>
      <c r="H143" s="9" t="s">
        <v>75</v>
      </c>
      <c r="I143" s="10">
        <f t="shared" si="4"/>
        <v>46015</v>
      </c>
      <c r="J143" s="9"/>
      <c r="K143" s="9">
        <f t="shared" si="5"/>
        <v>80</v>
      </c>
      <c r="L143" s="12">
        <v>25</v>
      </c>
      <c r="M143" s="12">
        <v>25</v>
      </c>
      <c r="N143" s="12">
        <v>25</v>
      </c>
      <c r="O143" s="12">
        <v>80</v>
      </c>
      <c r="P143" s="33"/>
      <c r="Q143" s="12"/>
    </row>
    <row r="144" spans="1:20" s="8" customFormat="1" ht="15" x14ac:dyDescent="0.25">
      <c r="A144" s="9" t="s">
        <v>17</v>
      </c>
      <c r="B144" s="9">
        <v>72</v>
      </c>
      <c r="C144" s="9" t="s">
        <v>18</v>
      </c>
      <c r="D144" s="9" t="s">
        <v>183</v>
      </c>
      <c r="E144" s="13" t="s">
        <v>303</v>
      </c>
      <c r="F144" s="9" t="s">
        <v>20</v>
      </c>
      <c r="G144" s="9" t="s">
        <v>21</v>
      </c>
      <c r="H144" s="9" t="s">
        <v>75</v>
      </c>
      <c r="I144" s="10">
        <f t="shared" si="4"/>
        <v>46015</v>
      </c>
      <c r="J144" s="9"/>
      <c r="K144" s="9">
        <f t="shared" si="5"/>
        <v>100</v>
      </c>
      <c r="L144" s="12">
        <v>25</v>
      </c>
      <c r="M144" s="12">
        <v>25</v>
      </c>
      <c r="N144" s="12">
        <v>25</v>
      </c>
      <c r="O144" s="12">
        <v>25</v>
      </c>
      <c r="P144" s="33">
        <v>100</v>
      </c>
      <c r="Q144" s="12"/>
      <c r="R144" s="38"/>
      <c r="S144" s="38"/>
      <c r="T144" s="38"/>
    </row>
    <row r="145" spans="1:20" s="16" customFormat="1" ht="15" x14ac:dyDescent="0.25">
      <c r="A145" s="13" t="s">
        <v>40</v>
      </c>
      <c r="B145" s="9">
        <v>72</v>
      </c>
      <c r="C145" s="9" t="s">
        <v>3</v>
      </c>
      <c r="D145" s="9" t="s">
        <v>184</v>
      </c>
      <c r="E145" s="13" t="s">
        <v>303</v>
      </c>
      <c r="F145" s="9" t="s">
        <v>185</v>
      </c>
      <c r="G145" s="9"/>
      <c r="H145" s="9"/>
      <c r="I145" s="10" t="str">
        <f t="shared" si="4"/>
        <v/>
      </c>
      <c r="J145" s="9" t="s">
        <v>186</v>
      </c>
      <c r="K145" s="9">
        <f t="shared" si="5"/>
        <v>100</v>
      </c>
      <c r="L145" s="12"/>
      <c r="M145" s="12"/>
      <c r="N145" s="12"/>
      <c r="O145" s="12"/>
      <c r="P145" s="33">
        <v>100</v>
      </c>
      <c r="Q145" s="12"/>
      <c r="R145" s="38"/>
      <c r="S145" s="38"/>
      <c r="T145" s="38"/>
    </row>
    <row r="146" spans="1:20" s="16" customFormat="1" ht="15" x14ac:dyDescent="0.25">
      <c r="A146" s="13" t="s">
        <v>40</v>
      </c>
      <c r="B146" s="9">
        <v>72</v>
      </c>
      <c r="C146" s="9" t="s">
        <v>3</v>
      </c>
      <c r="D146" s="9" t="s">
        <v>187</v>
      </c>
      <c r="E146" s="13" t="s">
        <v>303</v>
      </c>
      <c r="F146" s="9" t="s">
        <v>188</v>
      </c>
      <c r="G146" s="9"/>
      <c r="H146" s="9"/>
      <c r="I146" s="10" t="str">
        <f t="shared" si="4"/>
        <v/>
      </c>
      <c r="J146" s="9"/>
      <c r="K146" s="9">
        <f t="shared" si="5"/>
        <v>100</v>
      </c>
      <c r="L146" s="12">
        <v>60</v>
      </c>
      <c r="M146" s="12">
        <v>100</v>
      </c>
      <c r="N146" s="12">
        <v>100</v>
      </c>
      <c r="O146" s="12">
        <v>100</v>
      </c>
      <c r="P146" s="33">
        <v>100</v>
      </c>
      <c r="Q146" s="12"/>
      <c r="R146" s="38"/>
      <c r="S146" s="38"/>
      <c r="T146" s="38"/>
    </row>
    <row r="147" spans="1:20" s="16" customFormat="1" ht="15" x14ac:dyDescent="0.25">
      <c r="A147" s="13" t="s">
        <v>40</v>
      </c>
      <c r="B147" s="9">
        <v>72</v>
      </c>
      <c r="C147" s="9" t="s">
        <v>3</v>
      </c>
      <c r="D147" s="9" t="s">
        <v>189</v>
      </c>
      <c r="E147" s="13" t="s">
        <v>303</v>
      </c>
      <c r="F147" s="9" t="s">
        <v>188</v>
      </c>
      <c r="G147" s="9"/>
      <c r="H147" s="9"/>
      <c r="I147" s="10" t="str">
        <f t="shared" si="4"/>
        <v/>
      </c>
      <c r="J147" s="9"/>
      <c r="K147" s="9">
        <f t="shared" si="5"/>
        <v>100</v>
      </c>
      <c r="L147" s="12">
        <v>68</v>
      </c>
      <c r="M147" s="12">
        <v>75</v>
      </c>
      <c r="N147" s="12">
        <v>100</v>
      </c>
      <c r="O147" s="12">
        <v>100</v>
      </c>
      <c r="P147" s="33">
        <v>100</v>
      </c>
      <c r="Q147" s="12"/>
      <c r="R147" s="38"/>
      <c r="S147" s="38"/>
      <c r="T147" s="38"/>
    </row>
    <row r="148" spans="1:20" s="16" customFormat="1" ht="15" x14ac:dyDescent="0.25">
      <c r="A148" s="13" t="s">
        <v>40</v>
      </c>
      <c r="B148" s="9">
        <v>72</v>
      </c>
      <c r="C148" s="9" t="s">
        <v>3</v>
      </c>
      <c r="D148" s="9" t="s">
        <v>190</v>
      </c>
      <c r="E148" s="13" t="s">
        <v>303</v>
      </c>
      <c r="F148" s="9" t="s">
        <v>188</v>
      </c>
      <c r="G148" s="9"/>
      <c r="H148" s="9"/>
      <c r="I148" s="10" t="str">
        <f t="shared" si="4"/>
        <v/>
      </c>
      <c r="J148" s="9"/>
      <c r="K148" s="9">
        <f t="shared" si="5"/>
        <v>100</v>
      </c>
      <c r="L148" s="12">
        <v>71</v>
      </c>
      <c r="M148" s="12">
        <v>68</v>
      </c>
      <c r="N148" s="12">
        <v>100</v>
      </c>
      <c r="O148" s="12">
        <v>100</v>
      </c>
      <c r="P148" s="33">
        <v>100</v>
      </c>
      <c r="Q148" s="12"/>
      <c r="R148" s="38"/>
      <c r="S148" s="38"/>
      <c r="T148" s="38"/>
    </row>
    <row r="149" spans="1:20" s="8" customFormat="1" ht="15" x14ac:dyDescent="0.25">
      <c r="A149" s="9" t="s">
        <v>152</v>
      </c>
      <c r="B149" s="9">
        <v>72</v>
      </c>
      <c r="C149" s="9" t="s">
        <v>3</v>
      </c>
      <c r="D149" s="9" t="s">
        <v>191</v>
      </c>
      <c r="E149" s="13" t="s">
        <v>303</v>
      </c>
      <c r="F149" s="9" t="s">
        <v>188</v>
      </c>
      <c r="G149" s="9"/>
      <c r="H149" s="9"/>
      <c r="I149" s="10" t="str">
        <f t="shared" si="4"/>
        <v/>
      </c>
      <c r="J149" s="9"/>
      <c r="K149" s="9">
        <f t="shared" si="5"/>
        <v>100</v>
      </c>
      <c r="L149" s="12">
        <v>20</v>
      </c>
      <c r="M149" s="12">
        <v>40</v>
      </c>
      <c r="N149" s="12">
        <v>60</v>
      </c>
      <c r="O149" s="12">
        <v>60</v>
      </c>
      <c r="P149" s="33">
        <v>100</v>
      </c>
      <c r="Q149" s="12"/>
      <c r="R149" s="38"/>
      <c r="S149" s="38"/>
      <c r="T149" s="38"/>
    </row>
    <row r="150" spans="1:20" s="8" customFormat="1" ht="15" x14ac:dyDescent="0.25">
      <c r="A150" s="9" t="s">
        <v>152</v>
      </c>
      <c r="B150" s="9">
        <v>72</v>
      </c>
      <c r="C150" s="9" t="s">
        <v>3</v>
      </c>
      <c r="D150" s="9" t="s">
        <v>192</v>
      </c>
      <c r="E150" s="13" t="s">
        <v>303</v>
      </c>
      <c r="F150" s="9" t="s">
        <v>185</v>
      </c>
      <c r="G150" s="9"/>
      <c r="H150" s="9"/>
      <c r="I150" s="10" t="str">
        <f t="shared" si="4"/>
        <v/>
      </c>
      <c r="J150" s="9"/>
      <c r="K150" s="9">
        <f t="shared" si="5"/>
        <v>20</v>
      </c>
      <c r="L150" s="12">
        <v>5</v>
      </c>
      <c r="M150" s="12">
        <v>10</v>
      </c>
      <c r="N150" s="12">
        <v>20</v>
      </c>
      <c r="O150" s="12">
        <v>20</v>
      </c>
      <c r="P150" s="33"/>
      <c r="Q150" s="12"/>
    </row>
    <row r="151" spans="1:20" s="8" customFormat="1" ht="15" x14ac:dyDescent="0.25">
      <c r="A151" s="9" t="s">
        <v>76</v>
      </c>
      <c r="B151" s="9">
        <v>72</v>
      </c>
      <c r="C151" s="9" t="s">
        <v>3</v>
      </c>
      <c r="D151" s="9" t="s">
        <v>193</v>
      </c>
      <c r="E151" s="13" t="s">
        <v>303</v>
      </c>
      <c r="F151" s="9" t="s">
        <v>185</v>
      </c>
      <c r="G151" s="9"/>
      <c r="H151" s="9"/>
      <c r="I151" s="10" t="str">
        <f t="shared" si="4"/>
        <v/>
      </c>
      <c r="J151" s="9"/>
      <c r="K151" s="9">
        <f t="shared" si="5"/>
        <v>0</v>
      </c>
      <c r="L151" s="12">
        <v>0</v>
      </c>
      <c r="M151" s="12">
        <v>0</v>
      </c>
      <c r="N151" s="12">
        <v>0</v>
      </c>
      <c r="O151" s="12">
        <v>0</v>
      </c>
      <c r="P151" s="33"/>
      <c r="Q151" s="12"/>
    </row>
    <row r="152" spans="1:20" s="8" customFormat="1" ht="15" x14ac:dyDescent="0.25">
      <c r="A152" s="9" t="s">
        <v>76</v>
      </c>
      <c r="B152" s="9">
        <v>72</v>
      </c>
      <c r="C152" s="9" t="s">
        <v>3</v>
      </c>
      <c r="D152" s="9" t="s">
        <v>194</v>
      </c>
      <c r="E152" s="13" t="s">
        <v>303</v>
      </c>
      <c r="F152" s="9" t="s">
        <v>188</v>
      </c>
      <c r="G152" s="9"/>
      <c r="H152" s="9"/>
      <c r="I152" s="10" t="str">
        <f t="shared" si="4"/>
        <v/>
      </c>
      <c r="J152" s="9"/>
      <c r="K152" s="9">
        <f t="shared" si="5"/>
        <v>78</v>
      </c>
      <c r="L152" s="12">
        <v>25</v>
      </c>
      <c r="M152" s="12">
        <v>70</v>
      </c>
      <c r="N152" s="12">
        <v>57</v>
      </c>
      <c r="O152" s="12">
        <v>78</v>
      </c>
      <c r="P152" s="33"/>
      <c r="Q152" s="12"/>
    </row>
    <row r="153" spans="1:20" s="8" customFormat="1" ht="15" x14ac:dyDescent="0.25">
      <c r="A153" s="9" t="s">
        <v>76</v>
      </c>
      <c r="B153" s="9">
        <v>72</v>
      </c>
      <c r="C153" s="9" t="s">
        <v>3</v>
      </c>
      <c r="D153" s="9" t="s">
        <v>195</v>
      </c>
      <c r="E153" s="13" t="s">
        <v>303</v>
      </c>
      <c r="F153" s="9" t="s">
        <v>188</v>
      </c>
      <c r="G153" s="9"/>
      <c r="H153" s="9"/>
      <c r="I153" s="10" t="str">
        <f t="shared" si="4"/>
        <v/>
      </c>
      <c r="J153" s="9"/>
      <c r="K153" s="9">
        <f t="shared" si="5"/>
        <v>50</v>
      </c>
      <c r="L153" s="12">
        <v>37</v>
      </c>
      <c r="M153" s="12">
        <v>50</v>
      </c>
      <c r="N153" s="12">
        <v>50</v>
      </c>
      <c r="O153" s="12">
        <v>50</v>
      </c>
      <c r="P153" s="33"/>
      <c r="Q153" s="12"/>
    </row>
    <row r="154" spans="1:20" s="8" customFormat="1" ht="15" x14ac:dyDescent="0.25">
      <c r="A154" s="9" t="s">
        <v>76</v>
      </c>
      <c r="B154" s="9">
        <v>72</v>
      </c>
      <c r="C154" s="9" t="s">
        <v>3</v>
      </c>
      <c r="D154" s="9" t="s">
        <v>196</v>
      </c>
      <c r="E154" s="13" t="s">
        <v>303</v>
      </c>
      <c r="F154" s="9" t="s">
        <v>188</v>
      </c>
      <c r="G154" s="9"/>
      <c r="H154" s="9"/>
      <c r="I154" s="10" t="str">
        <f t="shared" si="4"/>
        <v/>
      </c>
      <c r="J154" s="9"/>
      <c r="K154" s="9">
        <f t="shared" si="5"/>
        <v>80</v>
      </c>
      <c r="L154" s="12">
        <v>50</v>
      </c>
      <c r="M154" s="12">
        <v>60</v>
      </c>
      <c r="N154" s="12">
        <v>80</v>
      </c>
      <c r="O154" s="12">
        <v>72</v>
      </c>
      <c r="P154" s="33"/>
      <c r="Q154" s="12"/>
    </row>
    <row r="155" spans="1:20" s="8" customFormat="1" ht="15" x14ac:dyDescent="0.25">
      <c r="A155" s="9" t="s">
        <v>76</v>
      </c>
      <c r="B155" s="9">
        <v>72</v>
      </c>
      <c r="C155" s="9" t="s">
        <v>3</v>
      </c>
      <c r="D155" s="9" t="s">
        <v>197</v>
      </c>
      <c r="E155" s="13" t="s">
        <v>303</v>
      </c>
      <c r="F155" s="9" t="s">
        <v>188</v>
      </c>
      <c r="G155" s="9"/>
      <c r="H155" s="9"/>
      <c r="I155" s="10" t="str">
        <f t="shared" si="4"/>
        <v/>
      </c>
      <c r="J155" s="9"/>
      <c r="K155" s="9">
        <f t="shared" si="5"/>
        <v>94</v>
      </c>
      <c r="L155" s="12">
        <v>88</v>
      </c>
      <c r="M155" s="12">
        <v>94</v>
      </c>
      <c r="N155" s="12">
        <v>94</v>
      </c>
      <c r="O155" s="12">
        <v>94</v>
      </c>
      <c r="P155" s="33"/>
      <c r="Q155" s="12"/>
    </row>
    <row r="156" spans="1:20" s="8" customFormat="1" ht="15" x14ac:dyDescent="0.25">
      <c r="A156" s="9" t="s">
        <v>76</v>
      </c>
      <c r="B156" s="9">
        <v>72</v>
      </c>
      <c r="C156" s="9" t="s">
        <v>3</v>
      </c>
      <c r="D156" s="9" t="s">
        <v>198</v>
      </c>
      <c r="E156" s="13" t="s">
        <v>303</v>
      </c>
      <c r="F156" s="9" t="s">
        <v>185</v>
      </c>
      <c r="G156" s="9"/>
      <c r="H156" s="9"/>
      <c r="I156" s="10" t="str">
        <f t="shared" si="4"/>
        <v/>
      </c>
      <c r="J156" s="9"/>
      <c r="K156" s="9">
        <f t="shared" si="5"/>
        <v>42</v>
      </c>
      <c r="L156" s="12">
        <v>14</v>
      </c>
      <c r="M156" s="12">
        <v>14</v>
      </c>
      <c r="N156" s="12">
        <v>14</v>
      </c>
      <c r="O156" s="12">
        <v>42</v>
      </c>
      <c r="P156" s="33"/>
      <c r="Q156" s="12"/>
    </row>
    <row r="157" spans="1:20" s="8" customFormat="1" ht="15" x14ac:dyDescent="0.25">
      <c r="A157" s="9" t="s">
        <v>76</v>
      </c>
      <c r="B157" s="9">
        <v>72</v>
      </c>
      <c r="C157" s="9" t="s">
        <v>3</v>
      </c>
      <c r="D157" s="9" t="s">
        <v>199</v>
      </c>
      <c r="E157" s="13" t="s">
        <v>303</v>
      </c>
      <c r="F157" s="9" t="s">
        <v>188</v>
      </c>
      <c r="G157" s="9"/>
      <c r="H157" s="9"/>
      <c r="I157" s="10" t="str">
        <f t="shared" si="4"/>
        <v/>
      </c>
      <c r="J157" s="9"/>
      <c r="K157" s="9">
        <f t="shared" si="5"/>
        <v>77</v>
      </c>
      <c r="L157" s="12">
        <v>70</v>
      </c>
      <c r="M157" s="12">
        <v>72</v>
      </c>
      <c r="N157" s="12">
        <v>77</v>
      </c>
      <c r="O157" s="12">
        <v>77</v>
      </c>
      <c r="P157" s="33"/>
      <c r="Q157" s="12"/>
    </row>
    <row r="158" spans="1:20" x14ac:dyDescent="0.25">
      <c r="A158" s="9" t="s">
        <v>29</v>
      </c>
      <c r="B158" s="9">
        <v>72</v>
      </c>
      <c r="C158" s="9" t="s">
        <v>3</v>
      </c>
      <c r="D158" s="9" t="s">
        <v>200</v>
      </c>
      <c r="E158" s="13" t="s">
        <v>303</v>
      </c>
      <c r="F158" s="17" t="s">
        <v>185</v>
      </c>
      <c r="G158" s="11"/>
      <c r="H158" s="18"/>
      <c r="I158" s="10" t="str">
        <f t="shared" si="4"/>
        <v/>
      </c>
      <c r="J158" s="18"/>
      <c r="K158" s="9">
        <f t="shared" si="5"/>
        <v>75</v>
      </c>
      <c r="L158" s="19">
        <v>25</v>
      </c>
      <c r="M158" s="19">
        <v>25</v>
      </c>
      <c r="N158" s="19">
        <v>50</v>
      </c>
      <c r="O158" s="19">
        <v>75</v>
      </c>
      <c r="P158" s="35"/>
      <c r="Q158" s="19"/>
    </row>
    <row r="159" spans="1:20" x14ac:dyDescent="0.25">
      <c r="A159" s="9" t="s">
        <v>29</v>
      </c>
      <c r="B159" s="9">
        <v>72</v>
      </c>
      <c r="C159" s="9" t="s">
        <v>3</v>
      </c>
      <c r="D159" s="9" t="s">
        <v>201</v>
      </c>
      <c r="E159" s="13" t="s">
        <v>303</v>
      </c>
      <c r="F159" s="17" t="s">
        <v>185</v>
      </c>
      <c r="G159" s="11"/>
      <c r="H159" s="18"/>
      <c r="I159" s="10" t="str">
        <f t="shared" si="4"/>
        <v/>
      </c>
      <c r="J159" s="18"/>
      <c r="K159" s="9">
        <f t="shared" si="5"/>
        <v>100</v>
      </c>
      <c r="L159" s="19">
        <v>75</v>
      </c>
      <c r="M159" s="19">
        <v>100</v>
      </c>
      <c r="N159" s="19">
        <v>100</v>
      </c>
      <c r="O159" s="19">
        <v>100</v>
      </c>
      <c r="P159" s="34">
        <v>100</v>
      </c>
      <c r="Q159" s="32"/>
      <c r="R159" s="38"/>
      <c r="S159" s="38"/>
      <c r="T159" s="38"/>
    </row>
    <row r="160" spans="1:20" x14ac:dyDescent="0.25">
      <c r="A160" s="9" t="s">
        <v>29</v>
      </c>
      <c r="B160" s="9">
        <v>72</v>
      </c>
      <c r="C160" s="9" t="s">
        <v>3</v>
      </c>
      <c r="D160" s="9" t="s">
        <v>202</v>
      </c>
      <c r="E160" s="13" t="s">
        <v>303</v>
      </c>
      <c r="F160" s="17" t="s">
        <v>188</v>
      </c>
      <c r="G160" s="11"/>
      <c r="H160" s="18"/>
      <c r="I160" s="10" t="str">
        <f t="shared" si="4"/>
        <v/>
      </c>
      <c r="J160" s="18"/>
      <c r="K160" s="9">
        <f t="shared" si="5"/>
        <v>50</v>
      </c>
      <c r="L160" s="19">
        <v>50</v>
      </c>
      <c r="M160" s="19">
        <v>50</v>
      </c>
      <c r="N160" s="19">
        <v>50</v>
      </c>
      <c r="O160" s="19">
        <v>50</v>
      </c>
      <c r="P160" s="35"/>
      <c r="Q160" s="19"/>
    </row>
    <row r="161" spans="1:20" x14ac:dyDescent="0.25">
      <c r="A161" s="9" t="s">
        <v>29</v>
      </c>
      <c r="B161" s="9">
        <v>72</v>
      </c>
      <c r="C161" s="9" t="s">
        <v>3</v>
      </c>
      <c r="D161" s="9" t="s">
        <v>203</v>
      </c>
      <c r="E161" s="13" t="s">
        <v>303</v>
      </c>
      <c r="F161" s="17" t="s">
        <v>188</v>
      </c>
      <c r="G161" s="11"/>
      <c r="H161" s="18"/>
      <c r="I161" s="10" t="str">
        <f t="shared" si="4"/>
        <v/>
      </c>
      <c r="J161" s="18"/>
      <c r="K161" s="9">
        <f t="shared" si="5"/>
        <v>100</v>
      </c>
      <c r="L161" s="19">
        <v>75</v>
      </c>
      <c r="M161" s="19">
        <v>100</v>
      </c>
      <c r="N161" s="19">
        <v>100</v>
      </c>
      <c r="O161" s="19">
        <v>100</v>
      </c>
      <c r="P161" s="34">
        <v>100</v>
      </c>
      <c r="Q161" s="32"/>
      <c r="R161" s="38"/>
      <c r="S161" s="38"/>
      <c r="T161" s="38"/>
    </row>
    <row r="162" spans="1:20" x14ac:dyDescent="0.25">
      <c r="A162" s="9" t="s">
        <v>29</v>
      </c>
      <c r="B162" s="9">
        <v>72</v>
      </c>
      <c r="C162" s="9" t="s">
        <v>3</v>
      </c>
      <c r="D162" s="9" t="s">
        <v>204</v>
      </c>
      <c r="E162" s="13" t="s">
        <v>303</v>
      </c>
      <c r="F162" s="17" t="s">
        <v>188</v>
      </c>
      <c r="G162" s="11"/>
      <c r="H162" s="18"/>
      <c r="I162" s="10" t="str">
        <f t="shared" si="4"/>
        <v/>
      </c>
      <c r="J162" s="18"/>
      <c r="K162" s="9">
        <f t="shared" si="5"/>
        <v>100</v>
      </c>
      <c r="L162" s="19">
        <v>75</v>
      </c>
      <c r="M162" s="19">
        <v>100</v>
      </c>
      <c r="N162" s="19">
        <v>100</v>
      </c>
      <c r="O162" s="19">
        <v>100</v>
      </c>
      <c r="P162" s="34">
        <v>100</v>
      </c>
      <c r="Q162" s="32"/>
      <c r="R162" s="38"/>
      <c r="S162" s="38"/>
      <c r="T162" s="38"/>
    </row>
    <row r="163" spans="1:20" x14ac:dyDescent="0.25">
      <c r="A163" s="9" t="s">
        <v>29</v>
      </c>
      <c r="B163" s="9">
        <v>72</v>
      </c>
      <c r="C163" s="9" t="s">
        <v>3</v>
      </c>
      <c r="D163" s="9" t="s">
        <v>205</v>
      </c>
      <c r="E163" s="13" t="s">
        <v>303</v>
      </c>
      <c r="F163" s="17" t="s">
        <v>185</v>
      </c>
      <c r="G163" s="11"/>
      <c r="H163" s="18"/>
      <c r="I163" s="10" t="str">
        <f t="shared" si="4"/>
        <v/>
      </c>
      <c r="J163" s="18"/>
      <c r="K163" s="9">
        <f t="shared" si="5"/>
        <v>50</v>
      </c>
      <c r="L163" s="19">
        <v>25</v>
      </c>
      <c r="M163" s="19">
        <v>25</v>
      </c>
      <c r="N163" s="19">
        <v>50</v>
      </c>
      <c r="O163" s="19">
        <v>50</v>
      </c>
      <c r="P163" s="35"/>
      <c r="Q163" s="19"/>
    </row>
    <row r="164" spans="1:20" x14ac:dyDescent="0.25">
      <c r="A164" s="9" t="s">
        <v>29</v>
      </c>
      <c r="B164" s="9">
        <v>72</v>
      </c>
      <c r="C164" s="9" t="s">
        <v>3</v>
      </c>
      <c r="D164" s="9" t="s">
        <v>206</v>
      </c>
      <c r="E164" s="13" t="s">
        <v>303</v>
      </c>
      <c r="F164" s="17" t="s">
        <v>185</v>
      </c>
      <c r="G164" s="11"/>
      <c r="H164" s="18"/>
      <c r="I164" s="10" t="str">
        <f t="shared" si="4"/>
        <v/>
      </c>
      <c r="J164" s="18"/>
      <c r="K164" s="9">
        <f t="shared" si="5"/>
        <v>100</v>
      </c>
      <c r="L164" s="19">
        <v>75</v>
      </c>
      <c r="M164" s="19">
        <v>100</v>
      </c>
      <c r="N164" s="19">
        <v>100</v>
      </c>
      <c r="O164" s="19">
        <v>100</v>
      </c>
      <c r="P164" s="34">
        <v>100</v>
      </c>
      <c r="Q164" s="32"/>
      <c r="R164" s="38"/>
      <c r="S164" s="38"/>
      <c r="T164" s="38"/>
    </row>
    <row r="165" spans="1:20" x14ac:dyDescent="0.25">
      <c r="A165" s="9" t="s">
        <v>29</v>
      </c>
      <c r="B165" s="9">
        <v>72</v>
      </c>
      <c r="C165" s="9" t="s">
        <v>3</v>
      </c>
      <c r="D165" s="9" t="s">
        <v>207</v>
      </c>
      <c r="E165" s="13" t="s">
        <v>303</v>
      </c>
      <c r="F165" s="17" t="s">
        <v>185</v>
      </c>
      <c r="G165" s="11"/>
      <c r="H165" s="18"/>
      <c r="I165" s="10" t="str">
        <f t="shared" si="4"/>
        <v/>
      </c>
      <c r="J165" s="18"/>
      <c r="K165" s="9">
        <f t="shared" si="5"/>
        <v>100</v>
      </c>
      <c r="L165" s="19">
        <v>25</v>
      </c>
      <c r="M165" s="19">
        <v>25</v>
      </c>
      <c r="N165" s="19">
        <v>50</v>
      </c>
      <c r="O165" s="19">
        <v>50</v>
      </c>
      <c r="P165" s="34">
        <v>100</v>
      </c>
      <c r="Q165" s="32"/>
      <c r="R165" s="38"/>
      <c r="S165" s="38"/>
      <c r="T165" s="38"/>
    </row>
    <row r="166" spans="1:20" x14ac:dyDescent="0.25">
      <c r="A166" s="9" t="s">
        <v>29</v>
      </c>
      <c r="B166" s="9">
        <v>72</v>
      </c>
      <c r="C166" s="9" t="s">
        <v>3</v>
      </c>
      <c r="D166" s="9" t="s">
        <v>208</v>
      </c>
      <c r="E166" s="13" t="s">
        <v>303</v>
      </c>
      <c r="F166" s="17" t="s">
        <v>185</v>
      </c>
      <c r="G166" s="11"/>
      <c r="H166" s="18"/>
      <c r="I166" s="10" t="str">
        <f t="shared" si="4"/>
        <v/>
      </c>
      <c r="J166" s="18"/>
      <c r="K166" s="9">
        <f t="shared" si="5"/>
        <v>100</v>
      </c>
      <c r="L166" s="19">
        <v>25</v>
      </c>
      <c r="M166" s="19">
        <v>25</v>
      </c>
      <c r="N166" s="19">
        <v>75</v>
      </c>
      <c r="O166" s="19">
        <v>75</v>
      </c>
      <c r="P166" s="34">
        <v>100</v>
      </c>
      <c r="Q166" s="32"/>
      <c r="R166" s="38"/>
      <c r="S166" s="38"/>
      <c r="T166" s="38"/>
    </row>
    <row r="167" spans="1:20" x14ac:dyDescent="0.25">
      <c r="A167" s="17" t="s">
        <v>17</v>
      </c>
      <c r="B167" s="9">
        <v>72</v>
      </c>
      <c r="C167" s="1" t="s">
        <v>18</v>
      </c>
      <c r="D167" s="9" t="s">
        <v>209</v>
      </c>
      <c r="E167" s="13" t="s">
        <v>303</v>
      </c>
      <c r="F167" s="1" t="s">
        <v>185</v>
      </c>
      <c r="G167" s="11"/>
      <c r="H167" s="18"/>
      <c r="I167" s="10" t="str">
        <f t="shared" si="4"/>
        <v/>
      </c>
      <c r="J167" s="18"/>
      <c r="K167" s="9">
        <f t="shared" si="5"/>
        <v>60</v>
      </c>
      <c r="L167" s="19">
        <v>20</v>
      </c>
      <c r="M167" s="19">
        <v>20</v>
      </c>
      <c r="N167" s="19">
        <v>20</v>
      </c>
      <c r="O167" s="19">
        <v>60</v>
      </c>
      <c r="P167" s="35"/>
      <c r="Q167" s="19"/>
    </row>
    <row r="168" spans="1:20" x14ac:dyDescent="0.25">
      <c r="A168" s="17" t="s">
        <v>17</v>
      </c>
      <c r="B168" s="9">
        <v>72</v>
      </c>
      <c r="C168" s="1" t="s">
        <v>18</v>
      </c>
      <c r="D168" s="9" t="s">
        <v>210</v>
      </c>
      <c r="E168" s="13" t="s">
        <v>303</v>
      </c>
      <c r="F168" s="1" t="s">
        <v>185</v>
      </c>
      <c r="G168" s="11"/>
      <c r="H168" s="18"/>
      <c r="I168" s="10" t="str">
        <f t="shared" si="4"/>
        <v/>
      </c>
      <c r="J168" s="18"/>
      <c r="K168" s="9">
        <f t="shared" si="5"/>
        <v>100</v>
      </c>
      <c r="L168" s="19">
        <v>20</v>
      </c>
      <c r="M168" s="19">
        <v>20</v>
      </c>
      <c r="N168" s="19">
        <v>60</v>
      </c>
      <c r="O168" s="19">
        <v>80</v>
      </c>
      <c r="P168" s="34">
        <v>100</v>
      </c>
      <c r="Q168" s="32"/>
      <c r="R168" s="38"/>
      <c r="S168" s="38"/>
      <c r="T168" s="38"/>
    </row>
    <row r="169" spans="1:20" x14ac:dyDescent="0.25">
      <c r="A169" s="17" t="s">
        <v>17</v>
      </c>
      <c r="B169" s="9">
        <v>72</v>
      </c>
      <c r="C169" s="1" t="s">
        <v>18</v>
      </c>
      <c r="D169" s="9" t="s">
        <v>211</v>
      </c>
      <c r="E169" s="13" t="s">
        <v>303</v>
      </c>
      <c r="F169" s="1" t="s">
        <v>188</v>
      </c>
      <c r="G169" s="11"/>
      <c r="H169" s="18"/>
      <c r="I169" s="10" t="str">
        <f t="shared" si="4"/>
        <v/>
      </c>
      <c r="J169" s="18"/>
      <c r="K169" s="9">
        <f t="shared" si="5"/>
        <v>100</v>
      </c>
      <c r="L169" s="19">
        <v>25</v>
      </c>
      <c r="M169" s="19">
        <v>25</v>
      </c>
      <c r="N169" s="19">
        <v>25</v>
      </c>
      <c r="O169" s="19">
        <v>100</v>
      </c>
      <c r="P169" s="34">
        <v>100</v>
      </c>
      <c r="Q169" s="32"/>
      <c r="R169" s="38"/>
      <c r="S169" s="38"/>
      <c r="T169" s="38"/>
    </row>
    <row r="170" spans="1:20" x14ac:dyDescent="0.25">
      <c r="A170" s="17" t="s">
        <v>17</v>
      </c>
      <c r="B170" s="11">
        <v>74</v>
      </c>
      <c r="C170" s="1" t="s">
        <v>18</v>
      </c>
      <c r="D170" s="9" t="s">
        <v>212</v>
      </c>
      <c r="E170" s="13" t="s">
        <v>303</v>
      </c>
      <c r="F170" s="1" t="s">
        <v>185</v>
      </c>
      <c r="G170" s="11"/>
      <c r="H170" s="18"/>
      <c r="I170" s="10" t="str">
        <f t="shared" si="4"/>
        <v/>
      </c>
      <c r="J170" s="18"/>
      <c r="K170" s="9">
        <f t="shared" si="5"/>
        <v>25</v>
      </c>
      <c r="L170" s="19">
        <v>10</v>
      </c>
      <c r="M170" s="19">
        <v>10</v>
      </c>
      <c r="N170" s="19">
        <v>10</v>
      </c>
      <c r="O170" s="19">
        <v>25</v>
      </c>
      <c r="P170" s="35"/>
      <c r="Q170" s="19"/>
    </row>
    <row r="171" spans="1:20" x14ac:dyDescent="0.25">
      <c r="A171" s="17" t="s">
        <v>17</v>
      </c>
      <c r="B171" s="11">
        <v>74</v>
      </c>
      <c r="C171" s="1" t="s">
        <v>18</v>
      </c>
      <c r="D171" s="9" t="s">
        <v>213</v>
      </c>
      <c r="E171" s="13" t="s">
        <v>303</v>
      </c>
      <c r="F171" s="1" t="s">
        <v>188</v>
      </c>
      <c r="G171" s="11"/>
      <c r="H171" s="18"/>
      <c r="I171" s="10" t="str">
        <f t="shared" si="4"/>
        <v/>
      </c>
      <c r="J171" s="18"/>
      <c r="K171" s="9">
        <v>100</v>
      </c>
      <c r="L171" s="19"/>
      <c r="M171" s="19"/>
      <c r="N171" s="19">
        <v>50</v>
      </c>
      <c r="O171" s="19">
        <v>50</v>
      </c>
      <c r="P171" s="34">
        <v>100</v>
      </c>
      <c r="Q171" s="32"/>
      <c r="R171" s="38"/>
      <c r="S171" s="38"/>
      <c r="T171" s="38"/>
    </row>
    <row r="172" spans="1:20" x14ac:dyDescent="0.25">
      <c r="A172" s="17" t="s">
        <v>17</v>
      </c>
      <c r="B172" s="11">
        <v>74</v>
      </c>
      <c r="C172" s="1" t="s">
        <v>18</v>
      </c>
      <c r="D172" s="9" t="s">
        <v>214</v>
      </c>
      <c r="E172" s="13" t="s">
        <v>303</v>
      </c>
      <c r="F172" s="1" t="s">
        <v>188</v>
      </c>
      <c r="G172" s="11"/>
      <c r="H172" s="18"/>
      <c r="I172" s="10" t="str">
        <f t="shared" si="4"/>
        <v/>
      </c>
      <c r="J172" s="18"/>
      <c r="K172" s="9">
        <f t="shared" si="5"/>
        <v>100</v>
      </c>
      <c r="L172" s="19"/>
      <c r="M172" s="19"/>
      <c r="N172" s="19">
        <v>100</v>
      </c>
      <c r="O172" s="19">
        <v>100</v>
      </c>
      <c r="P172" s="34">
        <v>100</v>
      </c>
      <c r="Q172" s="32"/>
      <c r="R172" s="38"/>
      <c r="S172" s="38"/>
      <c r="T172" s="38"/>
    </row>
    <row r="173" spans="1:20" x14ac:dyDescent="0.25">
      <c r="A173" s="17" t="s">
        <v>17</v>
      </c>
      <c r="B173" s="11">
        <v>74</v>
      </c>
      <c r="C173" s="1" t="s">
        <v>18</v>
      </c>
      <c r="D173" s="9" t="s">
        <v>215</v>
      </c>
      <c r="E173" s="13" t="s">
        <v>303</v>
      </c>
      <c r="F173" s="1" t="s">
        <v>185</v>
      </c>
      <c r="G173" s="11"/>
      <c r="H173" s="18"/>
      <c r="I173" s="10" t="str">
        <f t="shared" si="4"/>
        <v/>
      </c>
      <c r="J173" s="18"/>
      <c r="K173" s="9">
        <f t="shared" si="5"/>
        <v>100</v>
      </c>
      <c r="L173" s="19"/>
      <c r="M173" s="19"/>
      <c r="N173" s="19">
        <v>100</v>
      </c>
      <c r="O173" s="19">
        <v>100</v>
      </c>
      <c r="P173" s="34">
        <v>100</v>
      </c>
      <c r="Q173" s="32"/>
      <c r="R173" s="38"/>
      <c r="S173" s="38"/>
      <c r="T173" s="38"/>
    </row>
    <row r="174" spans="1:20" x14ac:dyDescent="0.25">
      <c r="A174" s="17" t="s">
        <v>17</v>
      </c>
      <c r="B174" s="11">
        <v>74</v>
      </c>
      <c r="C174" s="1" t="s">
        <v>18</v>
      </c>
      <c r="D174" s="9" t="s">
        <v>216</v>
      </c>
      <c r="E174" s="13" t="s">
        <v>303</v>
      </c>
      <c r="F174" s="1" t="s">
        <v>217</v>
      </c>
      <c r="G174" s="11"/>
      <c r="H174" s="18"/>
      <c r="I174" s="10" t="str">
        <f t="shared" si="4"/>
        <v/>
      </c>
      <c r="J174" s="18"/>
      <c r="K174" s="9">
        <v>100</v>
      </c>
      <c r="L174" s="19"/>
      <c r="M174" s="19"/>
      <c r="N174" s="19"/>
      <c r="O174" s="19"/>
      <c r="P174" s="34">
        <v>100</v>
      </c>
      <c r="Q174" s="32"/>
      <c r="R174" s="38"/>
      <c r="S174" s="38"/>
      <c r="T174" s="38"/>
    </row>
    <row r="175" spans="1:20" x14ac:dyDescent="0.25">
      <c r="A175" s="17" t="s">
        <v>17</v>
      </c>
      <c r="B175" s="11">
        <v>74</v>
      </c>
      <c r="C175" s="1" t="s">
        <v>18</v>
      </c>
      <c r="D175" s="9" t="s">
        <v>218</v>
      </c>
      <c r="E175" s="13" t="s">
        <v>303</v>
      </c>
      <c r="F175" s="1" t="s">
        <v>185</v>
      </c>
      <c r="G175" s="11"/>
      <c r="H175" s="18"/>
      <c r="I175" s="10" t="str">
        <f t="shared" si="4"/>
        <v/>
      </c>
      <c r="J175" s="18"/>
      <c r="K175" s="9">
        <f t="shared" si="5"/>
        <v>100</v>
      </c>
      <c r="L175" s="19"/>
      <c r="M175" s="19"/>
      <c r="N175" s="19"/>
      <c r="O175" s="19"/>
      <c r="P175" s="34">
        <v>100</v>
      </c>
      <c r="Q175" s="32"/>
      <c r="R175" s="38"/>
      <c r="S175" s="38"/>
      <c r="T175" s="38"/>
    </row>
    <row r="176" spans="1:20" x14ac:dyDescent="0.25">
      <c r="A176" s="17" t="s">
        <v>17</v>
      </c>
      <c r="B176" s="11">
        <v>74</v>
      </c>
      <c r="C176" s="1" t="s">
        <v>18</v>
      </c>
      <c r="D176" s="9" t="s">
        <v>219</v>
      </c>
      <c r="E176" s="13" t="s">
        <v>303</v>
      </c>
      <c r="F176" s="1" t="s">
        <v>185</v>
      </c>
      <c r="G176" s="11"/>
      <c r="H176" s="18"/>
      <c r="I176" s="10" t="str">
        <f t="shared" si="4"/>
        <v/>
      </c>
      <c r="J176" s="18"/>
      <c r="K176" s="9">
        <f t="shared" si="5"/>
        <v>100</v>
      </c>
      <c r="L176" s="19">
        <v>0</v>
      </c>
      <c r="M176" s="19">
        <v>0</v>
      </c>
      <c r="N176" s="19">
        <v>15</v>
      </c>
      <c r="O176" s="19">
        <v>5</v>
      </c>
      <c r="P176" s="34">
        <v>100</v>
      </c>
      <c r="Q176" s="32"/>
      <c r="R176" s="38"/>
      <c r="S176" s="38"/>
      <c r="T176" s="38"/>
    </row>
    <row r="177" spans="1:20" x14ac:dyDescent="0.25">
      <c r="A177" s="17" t="s">
        <v>17</v>
      </c>
      <c r="B177" s="11">
        <v>74</v>
      </c>
      <c r="C177" s="1" t="s">
        <v>18</v>
      </c>
      <c r="D177" s="9" t="s">
        <v>220</v>
      </c>
      <c r="E177" s="13" t="s">
        <v>303</v>
      </c>
      <c r="F177" s="1" t="s">
        <v>217</v>
      </c>
      <c r="G177" s="11"/>
      <c r="H177" s="18"/>
      <c r="I177" s="10" t="str">
        <f t="shared" si="4"/>
        <v/>
      </c>
      <c r="J177" s="18"/>
      <c r="K177" s="9">
        <f t="shared" si="5"/>
        <v>0</v>
      </c>
      <c r="L177" s="19"/>
      <c r="M177" s="19"/>
      <c r="N177" s="19"/>
      <c r="O177" s="19"/>
      <c r="P177" s="35"/>
      <c r="Q177" s="19"/>
    </row>
    <row r="178" spans="1:20" x14ac:dyDescent="0.25">
      <c r="A178" s="17" t="s">
        <v>17</v>
      </c>
      <c r="B178" s="11">
        <v>74</v>
      </c>
      <c r="C178" s="1" t="s">
        <v>18</v>
      </c>
      <c r="D178" s="9" t="s">
        <v>221</v>
      </c>
      <c r="E178" s="13" t="s">
        <v>303</v>
      </c>
      <c r="F178" s="1" t="s">
        <v>217</v>
      </c>
      <c r="G178" s="11"/>
      <c r="H178" s="18"/>
      <c r="I178" s="10" t="str">
        <f t="shared" si="4"/>
        <v/>
      </c>
      <c r="J178" s="18"/>
      <c r="K178" s="9">
        <v>100</v>
      </c>
      <c r="L178" s="19"/>
      <c r="M178" s="19"/>
      <c r="N178" s="19"/>
      <c r="O178" s="19"/>
      <c r="P178" s="35">
        <v>100</v>
      </c>
      <c r="Q178" s="19"/>
    </row>
    <row r="179" spans="1:20" x14ac:dyDescent="0.25">
      <c r="A179" s="17" t="s">
        <v>17</v>
      </c>
      <c r="B179" s="11">
        <v>74</v>
      </c>
      <c r="C179" s="1" t="s">
        <v>18</v>
      </c>
      <c r="D179" s="9" t="s">
        <v>222</v>
      </c>
      <c r="E179" s="13" t="s">
        <v>303</v>
      </c>
      <c r="F179" s="1" t="s">
        <v>217</v>
      </c>
      <c r="G179" s="11"/>
      <c r="H179" s="18"/>
      <c r="I179" s="10" t="str">
        <f t="shared" si="4"/>
        <v/>
      </c>
      <c r="J179" s="18" t="s">
        <v>302</v>
      </c>
      <c r="K179" s="9">
        <v>10</v>
      </c>
      <c r="L179" s="19"/>
      <c r="M179" s="19"/>
      <c r="N179" s="19">
        <v>20</v>
      </c>
      <c r="O179" s="19">
        <v>25</v>
      </c>
      <c r="P179" s="35"/>
      <c r="Q179" s="19"/>
    </row>
    <row r="180" spans="1:20" x14ac:dyDescent="0.25">
      <c r="A180" s="17" t="s">
        <v>17</v>
      </c>
      <c r="B180" s="11">
        <v>74</v>
      </c>
      <c r="C180" s="1" t="s">
        <v>18</v>
      </c>
      <c r="D180" s="9" t="s">
        <v>223</v>
      </c>
      <c r="E180" s="13" t="s">
        <v>303</v>
      </c>
      <c r="F180" s="1" t="s">
        <v>185</v>
      </c>
      <c r="G180" s="11"/>
      <c r="H180" s="18"/>
      <c r="I180" s="10" t="str">
        <f t="shared" si="4"/>
        <v/>
      </c>
      <c r="J180" s="18"/>
      <c r="K180" s="9">
        <f t="shared" si="5"/>
        <v>100</v>
      </c>
      <c r="L180" s="19">
        <v>100</v>
      </c>
      <c r="M180" s="19">
        <v>100</v>
      </c>
      <c r="N180" s="19">
        <v>100</v>
      </c>
      <c r="O180" s="19">
        <v>100</v>
      </c>
      <c r="P180" s="34">
        <v>100</v>
      </c>
      <c r="Q180" s="32"/>
      <c r="R180" s="38"/>
      <c r="S180" s="38"/>
      <c r="T180" s="38"/>
    </row>
    <row r="181" spans="1:20" x14ac:dyDescent="0.25">
      <c r="A181" s="17" t="s">
        <v>17</v>
      </c>
      <c r="B181" s="11">
        <v>74</v>
      </c>
      <c r="C181" s="1" t="s">
        <v>18</v>
      </c>
      <c r="D181" s="9" t="s">
        <v>224</v>
      </c>
      <c r="E181" s="13" t="s">
        <v>303</v>
      </c>
      <c r="F181" s="1" t="s">
        <v>188</v>
      </c>
      <c r="G181" s="11"/>
      <c r="H181" s="18"/>
      <c r="I181" s="10" t="str">
        <f t="shared" si="4"/>
        <v/>
      </c>
      <c r="J181" s="18"/>
      <c r="K181" s="9">
        <f t="shared" si="5"/>
        <v>100</v>
      </c>
      <c r="L181" s="19">
        <v>100</v>
      </c>
      <c r="M181" s="19">
        <v>100</v>
      </c>
      <c r="N181" s="19">
        <v>100</v>
      </c>
      <c r="O181" s="19">
        <v>100</v>
      </c>
      <c r="P181" s="34">
        <v>100</v>
      </c>
      <c r="Q181" s="32"/>
      <c r="R181" s="38"/>
      <c r="S181" s="38"/>
      <c r="T181" s="38"/>
    </row>
    <row r="182" spans="1:20" x14ac:dyDescent="0.25">
      <c r="A182" s="17" t="s">
        <v>17</v>
      </c>
      <c r="B182" s="11">
        <v>74</v>
      </c>
      <c r="C182" s="1" t="s">
        <v>18</v>
      </c>
      <c r="D182" s="9" t="s">
        <v>225</v>
      </c>
      <c r="E182" s="13" t="s">
        <v>303</v>
      </c>
      <c r="F182" s="1" t="s">
        <v>185</v>
      </c>
      <c r="G182" s="11"/>
      <c r="H182" s="18"/>
      <c r="I182" s="10" t="str">
        <f t="shared" si="4"/>
        <v/>
      </c>
      <c r="J182" s="18"/>
      <c r="K182" s="9">
        <f t="shared" si="5"/>
        <v>100</v>
      </c>
      <c r="L182" s="19">
        <v>100</v>
      </c>
      <c r="M182" s="19">
        <v>100</v>
      </c>
      <c r="N182" s="19">
        <v>100</v>
      </c>
      <c r="O182" s="19">
        <v>100</v>
      </c>
      <c r="P182" s="34">
        <v>100</v>
      </c>
      <c r="Q182" s="32"/>
      <c r="R182" s="38"/>
      <c r="S182" s="38"/>
      <c r="T182" s="38"/>
    </row>
    <row r="183" spans="1:20" x14ac:dyDescent="0.25">
      <c r="A183" s="17" t="s">
        <v>17</v>
      </c>
      <c r="B183" s="11">
        <v>74</v>
      </c>
      <c r="C183" s="1" t="s">
        <v>18</v>
      </c>
      <c r="D183" s="9" t="s">
        <v>226</v>
      </c>
      <c r="E183" s="13" t="s">
        <v>303</v>
      </c>
      <c r="F183" s="1" t="s">
        <v>185</v>
      </c>
      <c r="G183" s="11"/>
      <c r="H183" s="18"/>
      <c r="I183" s="10" t="str">
        <f t="shared" si="4"/>
        <v/>
      </c>
      <c r="J183" s="18"/>
      <c r="K183" s="9">
        <f t="shared" si="5"/>
        <v>100</v>
      </c>
      <c r="L183" s="19">
        <v>100</v>
      </c>
      <c r="M183" s="19">
        <v>100</v>
      </c>
      <c r="N183" s="19">
        <v>100</v>
      </c>
      <c r="O183" s="19">
        <v>100</v>
      </c>
      <c r="P183" s="34">
        <v>100</v>
      </c>
      <c r="Q183" s="32"/>
      <c r="R183" s="38"/>
      <c r="S183" s="38"/>
      <c r="T183" s="38"/>
    </row>
    <row r="184" spans="1:20" x14ac:dyDescent="0.25">
      <c r="A184" s="17" t="s">
        <v>17</v>
      </c>
      <c r="B184" s="11">
        <v>74</v>
      </c>
      <c r="C184" s="1" t="s">
        <v>18</v>
      </c>
      <c r="D184" s="9" t="s">
        <v>227</v>
      </c>
      <c r="E184" s="13" t="s">
        <v>303</v>
      </c>
      <c r="F184" s="1" t="s">
        <v>185</v>
      </c>
      <c r="G184" s="11"/>
      <c r="H184" s="18"/>
      <c r="I184" s="10" t="str">
        <f t="shared" si="4"/>
        <v/>
      </c>
      <c r="J184" s="18"/>
      <c r="K184" s="9">
        <f t="shared" si="5"/>
        <v>100</v>
      </c>
      <c r="L184" s="19">
        <v>100</v>
      </c>
      <c r="M184" s="19">
        <v>100</v>
      </c>
      <c r="N184" s="19">
        <v>100</v>
      </c>
      <c r="O184" s="19">
        <v>100</v>
      </c>
      <c r="P184" s="34">
        <v>100</v>
      </c>
      <c r="Q184" s="32"/>
      <c r="R184" s="38"/>
      <c r="S184" s="38"/>
      <c r="T184" s="38"/>
    </row>
    <row r="185" spans="1:20" x14ac:dyDescent="0.25">
      <c r="A185" s="1" t="s">
        <v>17</v>
      </c>
      <c r="B185" s="11">
        <v>74</v>
      </c>
      <c r="C185" s="1" t="s">
        <v>18</v>
      </c>
      <c r="D185" s="9" t="s">
        <v>228</v>
      </c>
      <c r="E185" s="13" t="s">
        <v>303</v>
      </c>
      <c r="F185" s="1" t="s">
        <v>188</v>
      </c>
      <c r="G185" s="11"/>
      <c r="H185" s="18"/>
      <c r="I185" s="10" t="str">
        <f t="shared" si="4"/>
        <v/>
      </c>
      <c r="J185" s="18"/>
      <c r="K185" s="9">
        <v>50</v>
      </c>
      <c r="L185" s="19"/>
      <c r="M185" s="19"/>
      <c r="N185" s="19"/>
      <c r="O185" s="19"/>
      <c r="P185" s="34">
        <v>100</v>
      </c>
      <c r="Q185" s="32"/>
      <c r="R185" s="38"/>
      <c r="S185" s="38"/>
      <c r="T185" s="38"/>
    </row>
    <row r="186" spans="1:20" x14ac:dyDescent="0.25">
      <c r="A186" s="1" t="s">
        <v>17</v>
      </c>
      <c r="B186" s="11">
        <v>74</v>
      </c>
      <c r="C186" s="1" t="s">
        <v>18</v>
      </c>
      <c r="D186" s="9" t="s">
        <v>229</v>
      </c>
      <c r="E186" s="13" t="s">
        <v>303</v>
      </c>
      <c r="F186" s="1" t="s">
        <v>188</v>
      </c>
      <c r="G186" s="11"/>
      <c r="H186" s="18"/>
      <c r="I186" s="10" t="str">
        <f t="shared" si="4"/>
        <v/>
      </c>
      <c r="J186" s="18"/>
      <c r="K186" s="9">
        <f t="shared" si="5"/>
        <v>25</v>
      </c>
      <c r="L186" s="19">
        <v>10</v>
      </c>
      <c r="M186" s="19">
        <v>10</v>
      </c>
      <c r="N186" s="19">
        <v>10</v>
      </c>
      <c r="O186" s="19">
        <v>25</v>
      </c>
      <c r="P186" s="35"/>
      <c r="Q186" s="19"/>
    </row>
    <row r="187" spans="1:20" x14ac:dyDescent="0.25">
      <c r="A187" s="1" t="s">
        <v>35</v>
      </c>
      <c r="B187" s="11">
        <v>74</v>
      </c>
      <c r="C187" s="1" t="s">
        <v>3</v>
      </c>
      <c r="D187" s="9" t="s">
        <v>230</v>
      </c>
      <c r="E187" s="13" t="s">
        <v>303</v>
      </c>
      <c r="F187" s="1" t="s">
        <v>185</v>
      </c>
      <c r="G187" s="11"/>
      <c r="H187" s="18"/>
      <c r="I187" s="10" t="str">
        <f t="shared" si="4"/>
        <v/>
      </c>
      <c r="J187" s="18"/>
      <c r="K187" s="9">
        <f t="shared" si="5"/>
        <v>0</v>
      </c>
      <c r="L187" s="19"/>
      <c r="M187" s="19"/>
      <c r="N187" s="19"/>
      <c r="O187" s="19"/>
      <c r="P187" s="35"/>
      <c r="Q187" s="19"/>
    </row>
    <row r="188" spans="1:20" x14ac:dyDescent="0.25">
      <c r="A188" s="1" t="s">
        <v>29</v>
      </c>
      <c r="B188" s="11">
        <v>74</v>
      </c>
      <c r="C188" s="1" t="s">
        <v>18</v>
      </c>
      <c r="D188" s="9" t="s">
        <v>231</v>
      </c>
      <c r="E188" s="13" t="s">
        <v>303</v>
      </c>
      <c r="F188" s="1" t="s">
        <v>185</v>
      </c>
      <c r="G188" s="11"/>
      <c r="H188" s="18"/>
      <c r="I188" s="10" t="str">
        <f t="shared" si="4"/>
        <v/>
      </c>
      <c r="J188" s="18"/>
      <c r="K188" s="9">
        <f t="shared" si="5"/>
        <v>50</v>
      </c>
      <c r="L188" s="19"/>
      <c r="M188" s="19"/>
      <c r="N188" s="19">
        <v>50</v>
      </c>
      <c r="O188" s="19">
        <v>50</v>
      </c>
      <c r="P188" s="35"/>
      <c r="Q188" s="19"/>
    </row>
    <row r="189" spans="1:20" x14ac:dyDescent="0.25">
      <c r="A189" s="1" t="s">
        <v>29</v>
      </c>
      <c r="B189" s="11">
        <v>77</v>
      </c>
      <c r="C189" s="1" t="s">
        <v>18</v>
      </c>
      <c r="D189" s="9" t="s">
        <v>232</v>
      </c>
      <c r="E189" s="13" t="s">
        <v>303</v>
      </c>
      <c r="F189" s="1" t="s">
        <v>185</v>
      </c>
      <c r="G189" s="11"/>
      <c r="H189" s="18"/>
      <c r="I189" s="10" t="str">
        <f t="shared" si="4"/>
        <v/>
      </c>
      <c r="J189" s="18" t="s">
        <v>233</v>
      </c>
      <c r="K189" s="9">
        <f t="shared" si="5"/>
        <v>25</v>
      </c>
      <c r="L189" s="19">
        <v>25</v>
      </c>
      <c r="M189" s="19">
        <v>25</v>
      </c>
      <c r="N189" s="19">
        <v>25</v>
      </c>
      <c r="O189" s="19">
        <v>25</v>
      </c>
      <c r="P189" s="35"/>
      <c r="Q189" s="19"/>
    </row>
    <row r="190" spans="1:20" x14ac:dyDescent="0.25">
      <c r="A190" s="1" t="s">
        <v>29</v>
      </c>
      <c r="B190" s="11">
        <v>77</v>
      </c>
      <c r="C190" s="1" t="s">
        <v>18</v>
      </c>
      <c r="D190" s="9" t="s">
        <v>234</v>
      </c>
      <c r="E190" s="13" t="s">
        <v>303</v>
      </c>
      <c r="F190" s="1" t="s">
        <v>188</v>
      </c>
      <c r="G190" s="11"/>
      <c r="H190" s="18"/>
      <c r="I190" s="10" t="str">
        <f t="shared" si="4"/>
        <v/>
      </c>
      <c r="J190" s="18"/>
      <c r="K190" s="9">
        <f t="shared" si="5"/>
        <v>100</v>
      </c>
      <c r="L190" s="19">
        <v>100</v>
      </c>
      <c r="M190" s="19">
        <v>100</v>
      </c>
      <c r="N190" s="19">
        <v>100</v>
      </c>
      <c r="O190" s="19">
        <v>100</v>
      </c>
      <c r="P190" s="34">
        <v>100</v>
      </c>
      <c r="Q190" s="32"/>
      <c r="R190" s="38"/>
      <c r="S190" s="38"/>
      <c r="T190" s="38"/>
    </row>
    <row r="191" spans="1:20" x14ac:dyDescent="0.25">
      <c r="A191" s="1" t="s">
        <v>29</v>
      </c>
      <c r="B191" s="11">
        <v>77</v>
      </c>
      <c r="C191" s="1" t="s">
        <v>18</v>
      </c>
      <c r="D191" s="9" t="s">
        <v>235</v>
      </c>
      <c r="E191" s="13" t="s">
        <v>303</v>
      </c>
      <c r="F191" s="1" t="s">
        <v>188</v>
      </c>
      <c r="G191" s="11"/>
      <c r="H191" s="18"/>
      <c r="I191" s="10" t="str">
        <f t="shared" si="4"/>
        <v/>
      </c>
      <c r="J191" s="18"/>
      <c r="K191" s="9">
        <f t="shared" si="5"/>
        <v>25</v>
      </c>
      <c r="L191" s="19">
        <v>25</v>
      </c>
      <c r="M191" s="19">
        <v>25</v>
      </c>
      <c r="N191" s="19">
        <v>25</v>
      </c>
      <c r="O191" s="19">
        <v>25</v>
      </c>
      <c r="P191" s="35"/>
      <c r="Q191" s="19"/>
    </row>
    <row r="192" spans="1:20" x14ac:dyDescent="0.25">
      <c r="A192" s="1" t="s">
        <v>29</v>
      </c>
      <c r="B192" s="11">
        <v>77</v>
      </c>
      <c r="C192" s="1" t="s">
        <v>18</v>
      </c>
      <c r="D192" s="9" t="s">
        <v>236</v>
      </c>
      <c r="E192" s="13" t="s">
        <v>303</v>
      </c>
      <c r="F192" s="1" t="s">
        <v>185</v>
      </c>
      <c r="G192" s="11"/>
      <c r="H192" s="18"/>
      <c r="I192" s="10" t="str">
        <f t="shared" si="4"/>
        <v/>
      </c>
      <c r="J192" s="18"/>
      <c r="K192" s="9">
        <f t="shared" si="5"/>
        <v>0</v>
      </c>
      <c r="L192" s="19"/>
      <c r="M192" s="19"/>
      <c r="N192" s="19"/>
      <c r="O192" s="19" t="s">
        <v>237</v>
      </c>
      <c r="P192" s="35"/>
      <c r="Q192" s="19"/>
    </row>
    <row r="193" spans="1:20" x14ac:dyDescent="0.25">
      <c r="A193" s="1" t="s">
        <v>152</v>
      </c>
      <c r="B193" s="11">
        <v>77</v>
      </c>
      <c r="C193" s="1" t="s">
        <v>3</v>
      </c>
      <c r="D193" s="9" t="s">
        <v>238</v>
      </c>
      <c r="E193" s="13" t="s">
        <v>303</v>
      </c>
      <c r="F193" s="1" t="s">
        <v>185</v>
      </c>
      <c r="G193" s="11"/>
      <c r="H193" s="18"/>
      <c r="I193" s="10" t="str">
        <f t="shared" si="4"/>
        <v/>
      </c>
      <c r="J193" s="18"/>
      <c r="K193" s="9">
        <f t="shared" si="5"/>
        <v>40</v>
      </c>
      <c r="L193" s="19">
        <v>0</v>
      </c>
      <c r="M193" s="19">
        <v>20</v>
      </c>
      <c r="N193" s="19">
        <v>40</v>
      </c>
      <c r="O193" s="19">
        <v>40</v>
      </c>
      <c r="P193" s="35"/>
      <c r="Q193" s="19"/>
    </row>
    <row r="194" spans="1:20" x14ac:dyDescent="0.25">
      <c r="A194" s="1" t="s">
        <v>239</v>
      </c>
      <c r="B194" s="11">
        <v>77</v>
      </c>
      <c r="C194" s="1" t="s">
        <v>3</v>
      </c>
      <c r="D194" s="9" t="s">
        <v>240</v>
      </c>
      <c r="E194" s="13" t="s">
        <v>303</v>
      </c>
      <c r="F194" s="1" t="s">
        <v>185</v>
      </c>
      <c r="G194" s="11"/>
      <c r="H194" s="18"/>
      <c r="I194" s="10" t="str">
        <f t="shared" si="4"/>
        <v/>
      </c>
      <c r="J194" s="18"/>
      <c r="K194" s="9">
        <f t="shared" si="5"/>
        <v>0</v>
      </c>
      <c r="L194" s="19"/>
      <c r="M194" s="19"/>
      <c r="N194" s="19"/>
      <c r="O194" s="19"/>
      <c r="P194" s="35"/>
      <c r="Q194" s="19"/>
    </row>
    <row r="195" spans="1:20" x14ac:dyDescent="0.25">
      <c r="A195" s="1" t="s">
        <v>241</v>
      </c>
      <c r="B195" s="11">
        <v>77</v>
      </c>
      <c r="C195" s="1" t="s">
        <v>3</v>
      </c>
      <c r="D195" s="9" t="s">
        <v>242</v>
      </c>
      <c r="E195" s="13" t="s">
        <v>303</v>
      </c>
      <c r="F195" s="1" t="s">
        <v>185</v>
      </c>
      <c r="G195" s="11"/>
      <c r="H195" s="18"/>
      <c r="I195" s="10" t="str">
        <f t="shared" ref="I195:I198" si="6">IF(H195="S1",DATE(2025,10,14),IF(H195="S2",DATE(2025,10,28),IF(H195="S3",DATE(2025,11,12),IF(H195="S4",DATE(2025,11,25),IF(H195="S5",DATE(2025,12,9),IF(H195="S6",DATE(2025,12,24),IF(H195="S6",DATE(2025,12,24),IF(H195="IP",DATE(2025,12,24),IF(H195="UNC",DATE(2025,12,24),"")))))))))</f>
        <v/>
      </c>
      <c r="J195" s="18"/>
      <c r="K195" s="9">
        <f t="shared" si="5"/>
        <v>0</v>
      </c>
      <c r="L195" s="19"/>
      <c r="M195" s="19"/>
      <c r="N195" s="19"/>
      <c r="O195" s="19"/>
      <c r="P195" s="35"/>
      <c r="Q195" s="19"/>
    </row>
    <row r="196" spans="1:20" x14ac:dyDescent="0.25">
      <c r="A196" s="1" t="s">
        <v>35</v>
      </c>
      <c r="B196" s="11">
        <v>77</v>
      </c>
      <c r="C196" s="1" t="s">
        <v>3</v>
      </c>
      <c r="D196" s="9" t="s">
        <v>243</v>
      </c>
      <c r="E196" s="13" t="s">
        <v>303</v>
      </c>
      <c r="F196" s="1" t="s">
        <v>188</v>
      </c>
      <c r="G196" s="11"/>
      <c r="H196" s="18"/>
      <c r="I196" s="10" t="str">
        <f t="shared" si="6"/>
        <v/>
      </c>
      <c r="J196" s="18"/>
      <c r="K196" s="9">
        <f t="shared" si="5"/>
        <v>0</v>
      </c>
      <c r="L196" s="19"/>
      <c r="M196" s="19"/>
      <c r="N196" s="19"/>
      <c r="O196" s="19"/>
      <c r="P196" s="35"/>
      <c r="Q196" s="19"/>
    </row>
    <row r="197" spans="1:20" x14ac:dyDescent="0.25">
      <c r="A197" s="1" t="s">
        <v>35</v>
      </c>
      <c r="B197" s="11">
        <v>77</v>
      </c>
      <c r="C197" s="1" t="s">
        <v>3</v>
      </c>
      <c r="D197" s="9" t="s">
        <v>244</v>
      </c>
      <c r="E197" s="13" t="s">
        <v>303</v>
      </c>
      <c r="F197" s="1" t="s">
        <v>188</v>
      </c>
      <c r="G197" s="11"/>
      <c r="H197" s="18"/>
      <c r="I197" s="10" t="str">
        <f t="shared" si="6"/>
        <v/>
      </c>
      <c r="J197" s="18"/>
      <c r="K197" s="9">
        <f t="shared" si="5"/>
        <v>20</v>
      </c>
      <c r="L197" s="19">
        <v>0</v>
      </c>
      <c r="M197" s="19">
        <v>5</v>
      </c>
      <c r="N197" s="19">
        <v>10</v>
      </c>
      <c r="O197" s="19">
        <v>20</v>
      </c>
      <c r="P197" s="35"/>
      <c r="Q197" s="19"/>
    </row>
    <row r="198" spans="1:20" x14ac:dyDescent="0.25">
      <c r="A198" s="1" t="s">
        <v>35</v>
      </c>
      <c r="B198" s="11">
        <v>77</v>
      </c>
      <c r="C198" s="23" t="s">
        <v>3</v>
      </c>
      <c r="D198" s="9" t="s">
        <v>245</v>
      </c>
      <c r="E198" s="13" t="s">
        <v>303</v>
      </c>
      <c r="F198" s="1" t="s">
        <v>185</v>
      </c>
      <c r="G198" s="11"/>
      <c r="H198" s="18"/>
      <c r="I198" s="10" t="str">
        <f t="shared" si="6"/>
        <v/>
      </c>
      <c r="J198" s="18"/>
      <c r="K198" s="9">
        <f t="shared" si="5"/>
        <v>0</v>
      </c>
      <c r="L198" s="19"/>
      <c r="M198" s="19"/>
      <c r="N198" s="19"/>
      <c r="O198" s="19"/>
      <c r="P198" s="35"/>
      <c r="Q198" s="19"/>
    </row>
    <row r="199" spans="1:20" x14ac:dyDescent="0.25">
      <c r="A199" s="39" t="s">
        <v>152</v>
      </c>
      <c r="B199" s="11">
        <v>77</v>
      </c>
      <c r="C199" s="1" t="s">
        <v>3</v>
      </c>
      <c r="D199" s="9" t="s">
        <v>246</v>
      </c>
      <c r="E199" s="13" t="s">
        <v>303</v>
      </c>
      <c r="F199" s="1" t="s">
        <v>185</v>
      </c>
      <c r="G199" s="11"/>
      <c r="H199" s="18"/>
      <c r="I199" s="10" t="str">
        <f t="shared" ref="I199:I208" si="7">IF(H199="S1",DATE(2025,10,14),IF(H199="S2",DATE(2025,10,28),IF(H199="S3",DATE(2025,11,12),IF(H199="S4",DATE(2025,11,25),IF(H199="S5",DATE(2025,12,9),IF(H199="S6",DATE(2025,12,24),IF(H199="S6",DATE(2025,12,24),IF(H199="IP",DATE(2025,12,24),IF(H199="UNC",DATE(2025,12,24),"")))))))))</f>
        <v/>
      </c>
      <c r="J199" s="18"/>
      <c r="K199" s="9">
        <f t="shared" ref="K199:K208" si="8">MAX(L199:Q199)</f>
        <v>100</v>
      </c>
      <c r="L199" s="19">
        <v>0</v>
      </c>
      <c r="M199" s="19">
        <v>0</v>
      </c>
      <c r="N199" s="19">
        <v>20</v>
      </c>
      <c r="O199" s="19">
        <v>20</v>
      </c>
      <c r="P199" s="34">
        <v>100</v>
      </c>
      <c r="Q199" s="32"/>
      <c r="R199" s="38"/>
      <c r="S199" s="38"/>
      <c r="T199" s="38"/>
    </row>
    <row r="200" spans="1:20" x14ac:dyDescent="0.25">
      <c r="A200" s="39" t="s">
        <v>29</v>
      </c>
      <c r="B200" s="11">
        <v>77</v>
      </c>
      <c r="C200" s="1" t="s">
        <v>18</v>
      </c>
      <c r="D200" s="9" t="s">
        <v>247</v>
      </c>
      <c r="E200" s="13" t="s">
        <v>303</v>
      </c>
      <c r="F200" s="1" t="s">
        <v>185</v>
      </c>
      <c r="G200" s="11"/>
      <c r="H200" s="18"/>
      <c r="I200" s="10" t="str">
        <f t="shared" si="7"/>
        <v/>
      </c>
      <c r="J200" s="18"/>
      <c r="K200" s="9">
        <f t="shared" si="8"/>
        <v>100</v>
      </c>
      <c r="L200" s="19">
        <v>0</v>
      </c>
      <c r="M200" s="19">
        <v>0</v>
      </c>
      <c r="N200" s="19">
        <v>75</v>
      </c>
      <c r="O200" s="19">
        <v>100</v>
      </c>
      <c r="P200" s="35">
        <v>100</v>
      </c>
      <c r="Q200" s="19"/>
    </row>
    <row r="201" spans="1:20" x14ac:dyDescent="0.25">
      <c r="A201" s="39" t="s">
        <v>40</v>
      </c>
      <c r="B201" s="11">
        <v>77</v>
      </c>
      <c r="C201" s="1" t="s">
        <v>3</v>
      </c>
      <c r="D201" s="9" t="s">
        <v>248</v>
      </c>
      <c r="E201" s="13" t="s">
        <v>303</v>
      </c>
      <c r="F201" s="1" t="s">
        <v>185</v>
      </c>
      <c r="G201" s="11"/>
      <c r="H201" s="18"/>
      <c r="I201" s="10" t="str">
        <f t="shared" si="7"/>
        <v/>
      </c>
      <c r="J201" s="18"/>
      <c r="K201" s="9">
        <f t="shared" si="8"/>
        <v>50</v>
      </c>
      <c r="L201" s="19"/>
      <c r="M201" s="19"/>
      <c r="N201" s="19">
        <v>35</v>
      </c>
      <c r="O201" s="19">
        <v>50</v>
      </c>
      <c r="P201" s="35"/>
      <c r="Q201" s="19"/>
    </row>
    <row r="202" spans="1:20" x14ac:dyDescent="0.25">
      <c r="A202" s="39" t="s">
        <v>29</v>
      </c>
      <c r="B202" s="11">
        <v>77</v>
      </c>
      <c r="C202" s="1" t="s">
        <v>18</v>
      </c>
      <c r="D202" s="9" t="s">
        <v>249</v>
      </c>
      <c r="E202" s="13" t="s">
        <v>303</v>
      </c>
      <c r="F202" s="1" t="s">
        <v>185</v>
      </c>
      <c r="G202" s="11"/>
      <c r="H202" s="18"/>
      <c r="I202" s="10" t="str">
        <f t="shared" si="7"/>
        <v/>
      </c>
      <c r="J202" s="18"/>
      <c r="K202" s="9">
        <f t="shared" si="8"/>
        <v>100</v>
      </c>
      <c r="L202" s="19">
        <v>0</v>
      </c>
      <c r="M202" s="19">
        <v>0</v>
      </c>
      <c r="N202" s="19">
        <v>0</v>
      </c>
      <c r="O202" s="19">
        <v>100</v>
      </c>
      <c r="P202" s="34">
        <v>100</v>
      </c>
      <c r="Q202" s="32"/>
      <c r="R202" s="38"/>
      <c r="S202" s="38"/>
      <c r="T202" s="38"/>
    </row>
    <row r="203" spans="1:20" x14ac:dyDescent="0.25">
      <c r="A203" s="39" t="s">
        <v>29</v>
      </c>
      <c r="B203" s="11">
        <v>77</v>
      </c>
      <c r="C203" s="1" t="s">
        <v>18</v>
      </c>
      <c r="D203" s="9" t="s">
        <v>250</v>
      </c>
      <c r="E203" s="13" t="s">
        <v>303</v>
      </c>
      <c r="F203" s="1" t="s">
        <v>185</v>
      </c>
      <c r="G203" s="11"/>
      <c r="H203" s="18"/>
      <c r="I203" s="10" t="str">
        <f t="shared" si="7"/>
        <v/>
      </c>
      <c r="J203" s="18"/>
      <c r="K203" s="9">
        <f t="shared" si="8"/>
        <v>100</v>
      </c>
      <c r="L203" s="19"/>
      <c r="M203" s="19"/>
      <c r="N203" s="19">
        <v>25</v>
      </c>
      <c r="O203" s="19">
        <v>100</v>
      </c>
      <c r="P203" s="34">
        <v>100</v>
      </c>
      <c r="Q203" s="32"/>
      <c r="R203" s="38"/>
      <c r="S203" s="38"/>
      <c r="T203" s="38"/>
    </row>
    <row r="204" spans="1:20" x14ac:dyDescent="0.25">
      <c r="A204" s="39" t="s">
        <v>76</v>
      </c>
      <c r="B204" s="11">
        <v>77</v>
      </c>
      <c r="C204" s="1" t="s">
        <v>3</v>
      </c>
      <c r="D204" s="9" t="s">
        <v>251</v>
      </c>
      <c r="E204" s="13" t="s">
        <v>303</v>
      </c>
      <c r="F204" s="1" t="s">
        <v>185</v>
      </c>
      <c r="G204" s="11"/>
      <c r="H204" s="18"/>
      <c r="I204" s="10" t="str">
        <f t="shared" si="7"/>
        <v/>
      </c>
      <c r="J204" s="18"/>
      <c r="K204" s="9">
        <f t="shared" si="8"/>
        <v>0</v>
      </c>
      <c r="L204" s="19"/>
      <c r="M204" s="19"/>
      <c r="N204" s="19"/>
      <c r="O204" s="19">
        <v>0</v>
      </c>
      <c r="P204" s="35"/>
      <c r="Q204" s="19"/>
    </row>
    <row r="205" spans="1:20" x14ac:dyDescent="0.25">
      <c r="A205" s="39" t="s">
        <v>29</v>
      </c>
      <c r="B205" s="22">
        <v>80</v>
      </c>
      <c r="C205" s="1" t="s">
        <v>18</v>
      </c>
      <c r="D205" s="9" t="s">
        <v>252</v>
      </c>
      <c r="E205" s="13" t="s">
        <v>303</v>
      </c>
      <c r="F205" s="1" t="s">
        <v>188</v>
      </c>
      <c r="G205" s="11"/>
      <c r="H205" s="18"/>
      <c r="I205" s="10" t="str">
        <f t="shared" si="7"/>
        <v/>
      </c>
      <c r="J205" s="18"/>
      <c r="K205" s="9">
        <f t="shared" si="8"/>
        <v>25</v>
      </c>
      <c r="L205" s="19">
        <v>0</v>
      </c>
      <c r="M205" s="19">
        <v>0</v>
      </c>
      <c r="N205" s="19">
        <v>25</v>
      </c>
      <c r="O205" s="19">
        <v>25</v>
      </c>
      <c r="P205" s="35"/>
      <c r="Q205" s="19"/>
    </row>
    <row r="206" spans="1:20" x14ac:dyDescent="0.25">
      <c r="A206" s="39" t="s">
        <v>29</v>
      </c>
      <c r="B206" s="22">
        <v>80</v>
      </c>
      <c r="C206" s="1" t="s">
        <v>18</v>
      </c>
      <c r="D206" s="9" t="s">
        <v>253</v>
      </c>
      <c r="E206" s="13" t="s">
        <v>303</v>
      </c>
      <c r="F206" s="1" t="s">
        <v>185</v>
      </c>
      <c r="G206" s="11"/>
      <c r="H206" s="18"/>
      <c r="I206" s="10" t="str">
        <f t="shared" si="7"/>
        <v/>
      </c>
      <c r="J206" s="18"/>
      <c r="K206" s="9">
        <f t="shared" si="8"/>
        <v>0</v>
      </c>
      <c r="L206" s="19"/>
      <c r="M206" s="19"/>
      <c r="N206" s="19"/>
      <c r="O206" s="19"/>
      <c r="P206" s="35"/>
      <c r="Q206" s="19"/>
    </row>
    <row r="207" spans="1:20" x14ac:dyDescent="0.25">
      <c r="A207" s="39" t="s">
        <v>29</v>
      </c>
      <c r="B207" s="22">
        <v>80</v>
      </c>
      <c r="C207" s="1" t="s">
        <v>18</v>
      </c>
      <c r="D207" s="9" t="s">
        <v>254</v>
      </c>
      <c r="E207" s="13" t="s">
        <v>303</v>
      </c>
      <c r="F207" s="1" t="s">
        <v>217</v>
      </c>
      <c r="G207" s="11"/>
      <c r="H207" s="18"/>
      <c r="I207" s="10" t="str">
        <f t="shared" si="7"/>
        <v/>
      </c>
      <c r="J207" s="18"/>
      <c r="K207" s="9">
        <f t="shared" si="8"/>
        <v>100</v>
      </c>
      <c r="L207" s="19"/>
      <c r="M207" s="19"/>
      <c r="N207" s="19">
        <v>25</v>
      </c>
      <c r="O207" s="19">
        <v>100</v>
      </c>
      <c r="P207" s="34">
        <v>100</v>
      </c>
      <c r="Q207" s="32"/>
      <c r="R207" s="38"/>
      <c r="S207" s="38"/>
      <c r="T207" s="38"/>
    </row>
    <row r="208" spans="1:20" x14ac:dyDescent="0.25">
      <c r="A208" s="39" t="s">
        <v>76</v>
      </c>
      <c r="B208" s="22">
        <v>80</v>
      </c>
      <c r="C208" s="1" t="s">
        <v>3</v>
      </c>
      <c r="D208" s="9" t="s">
        <v>255</v>
      </c>
      <c r="E208" s="13" t="s">
        <v>303</v>
      </c>
      <c r="F208" s="1" t="s">
        <v>185</v>
      </c>
      <c r="G208" s="11"/>
      <c r="H208" s="18"/>
      <c r="I208" s="10" t="str">
        <f t="shared" si="7"/>
        <v/>
      </c>
      <c r="J208" s="18"/>
      <c r="K208" s="9">
        <f t="shared" si="8"/>
        <v>33</v>
      </c>
      <c r="L208" s="19"/>
      <c r="M208" s="19"/>
      <c r="N208" s="19"/>
      <c r="O208" s="19">
        <v>33</v>
      </c>
      <c r="P208" s="35"/>
      <c r="Q208" s="19"/>
    </row>
    <row r="209" spans="1:17" x14ac:dyDescent="0.25">
      <c r="A209" s="40" t="s">
        <v>40</v>
      </c>
      <c r="B209" s="22">
        <v>80</v>
      </c>
      <c r="C209" s="23" t="s">
        <v>3</v>
      </c>
      <c r="D209" s="27" t="s">
        <v>256</v>
      </c>
      <c r="E209" s="13" t="s">
        <v>303</v>
      </c>
      <c r="F209" s="23" t="s">
        <v>185</v>
      </c>
      <c r="G209" s="25"/>
      <c r="H209" s="26"/>
      <c r="I209" s="24" t="str">
        <f>IF(H209="S1",DATE(2025,10,14),IF(H209="S2",DATE(2025,10,28),IF(H209="S3",DATE(2025,11,12),IF(H209="S4",DATE(2025,11,25),IF(H209="S5",DATE(2025,12,9),IF(H209="S6",DATE(2025,12,24),IF(H209="S6",DATE(2025,12,24),IF(H209="IP",DATE(2025,12,24),IF(H209="UNC",DATE(2025,12,24),"")))))))))</f>
        <v/>
      </c>
      <c r="J209" s="26"/>
      <c r="K209" s="27">
        <f>MAX(L209:Q209)</f>
        <v>0</v>
      </c>
      <c r="L209" s="28"/>
      <c r="M209" s="28"/>
      <c r="N209" s="28">
        <v>0</v>
      </c>
      <c r="O209" s="28">
        <v>0</v>
      </c>
      <c r="P209" s="37"/>
      <c r="Q209" s="19"/>
    </row>
    <row r="210" spans="1:17" x14ac:dyDescent="0.25">
      <c r="A210" s="1" t="s">
        <v>17</v>
      </c>
      <c r="B210" s="22">
        <v>80</v>
      </c>
      <c r="C210" s="1" t="s">
        <v>18</v>
      </c>
      <c r="D210" s="9" t="s">
        <v>257</v>
      </c>
      <c r="E210" s="13" t="s">
        <v>303</v>
      </c>
      <c r="F210" s="1" t="s">
        <v>185</v>
      </c>
      <c r="G210" s="11"/>
      <c r="H210" s="18"/>
      <c r="I210" s="10" t="str">
        <f t="shared" ref="I210:I216" si="9">IF(H210="S1",DATE(2025,10,14),IF(H210="S2",DATE(2025,10,28),IF(H210="S3",DATE(2025,11,12),IF(H210="S4",DATE(2025,11,25),IF(H210="S5",DATE(2025,12,9),IF(H210="S6",DATE(2025,12,24),IF(H210="S6",DATE(2025,12,24),IF(H210="IP",DATE(2025,12,24),IF(H210="UNC",DATE(2025,12,24),"")))))))))</f>
        <v/>
      </c>
      <c r="J210" s="18"/>
      <c r="K210" s="9">
        <f t="shared" ref="K210:K217" si="10">MAX(L210:Q210)</f>
        <v>0</v>
      </c>
      <c r="L210" s="19"/>
      <c r="M210" s="19"/>
      <c r="N210" s="19"/>
      <c r="O210" s="19"/>
      <c r="P210" s="35"/>
      <c r="Q210" s="19"/>
    </row>
    <row r="211" spans="1:17" x14ac:dyDescent="0.25">
      <c r="A211" s="1" t="s">
        <v>17</v>
      </c>
      <c r="B211" s="22">
        <v>80</v>
      </c>
      <c r="C211" s="1" t="s">
        <v>18</v>
      </c>
      <c r="D211" s="9" t="s">
        <v>258</v>
      </c>
      <c r="E211" s="13" t="s">
        <v>303</v>
      </c>
      <c r="F211" s="1" t="s">
        <v>185</v>
      </c>
      <c r="G211" s="11"/>
      <c r="H211" s="18"/>
      <c r="I211" s="10" t="str">
        <f t="shared" si="9"/>
        <v/>
      </c>
      <c r="J211" s="18"/>
      <c r="K211" s="9">
        <f t="shared" si="10"/>
        <v>0</v>
      </c>
      <c r="L211" s="19"/>
      <c r="M211" s="19"/>
      <c r="N211" s="19"/>
      <c r="O211" s="19"/>
      <c r="P211" s="35"/>
      <c r="Q211" s="19"/>
    </row>
    <row r="212" spans="1:17" x14ac:dyDescent="0.25">
      <c r="A212" s="1" t="s">
        <v>29</v>
      </c>
      <c r="B212" s="22">
        <v>80</v>
      </c>
      <c r="C212" s="1" t="s">
        <v>18</v>
      </c>
      <c r="D212" s="9" t="s">
        <v>259</v>
      </c>
      <c r="E212" s="13" t="s">
        <v>303</v>
      </c>
      <c r="F212" s="1" t="s">
        <v>185</v>
      </c>
      <c r="G212" s="11"/>
      <c r="H212" s="18"/>
      <c r="I212" s="10" t="str">
        <f t="shared" si="9"/>
        <v/>
      </c>
      <c r="J212" s="18"/>
      <c r="K212" s="9">
        <v>25</v>
      </c>
      <c r="L212" s="19">
        <v>0</v>
      </c>
      <c r="M212" s="19">
        <v>0</v>
      </c>
      <c r="N212" s="19">
        <v>0</v>
      </c>
      <c r="O212" s="19">
        <v>25</v>
      </c>
      <c r="P212" s="35"/>
      <c r="Q212" s="19"/>
    </row>
    <row r="213" spans="1:17" x14ac:dyDescent="0.25">
      <c r="A213" s="1" t="s">
        <v>76</v>
      </c>
      <c r="B213" s="22">
        <v>80</v>
      </c>
      <c r="C213" s="1" t="s">
        <v>3</v>
      </c>
      <c r="D213" s="9" t="s">
        <v>260</v>
      </c>
      <c r="E213" s="13" t="s">
        <v>303</v>
      </c>
      <c r="F213" s="1" t="s">
        <v>185</v>
      </c>
      <c r="G213" s="11"/>
      <c r="H213" s="18"/>
      <c r="I213" s="10" t="str">
        <f t="shared" si="9"/>
        <v/>
      </c>
      <c r="J213" s="18"/>
      <c r="K213" s="9">
        <f t="shared" si="10"/>
        <v>0</v>
      </c>
      <c r="L213" s="19"/>
      <c r="M213" s="19"/>
      <c r="N213" s="19"/>
      <c r="O213" s="19">
        <v>0</v>
      </c>
      <c r="P213" s="35"/>
      <c r="Q213" s="19"/>
    </row>
    <row r="214" spans="1:17" x14ac:dyDescent="0.25">
      <c r="A214" s="1" t="s">
        <v>40</v>
      </c>
      <c r="B214" s="22">
        <v>80</v>
      </c>
      <c r="C214" s="1" t="s">
        <v>3</v>
      </c>
      <c r="D214" s="9" t="s">
        <v>261</v>
      </c>
      <c r="E214" s="13" t="s">
        <v>303</v>
      </c>
      <c r="F214" s="1" t="s">
        <v>185</v>
      </c>
      <c r="G214" s="11"/>
      <c r="H214" s="18"/>
      <c r="I214" s="10" t="str">
        <f t="shared" si="9"/>
        <v/>
      </c>
      <c r="J214" s="18"/>
      <c r="K214" s="9">
        <f t="shared" si="10"/>
        <v>0</v>
      </c>
      <c r="L214" s="19"/>
      <c r="M214" s="19"/>
      <c r="N214" s="19"/>
      <c r="O214" s="19"/>
      <c r="P214" s="35"/>
      <c r="Q214" s="19"/>
    </row>
    <row r="215" spans="1:17" x14ac:dyDescent="0.25">
      <c r="A215" s="1" t="s">
        <v>262</v>
      </c>
      <c r="B215" s="22">
        <v>80</v>
      </c>
      <c r="C215" s="1" t="s">
        <v>3</v>
      </c>
      <c r="D215" s="9" t="s">
        <v>263</v>
      </c>
      <c r="E215" s="13" t="s">
        <v>303</v>
      </c>
      <c r="F215" s="1" t="s">
        <v>185</v>
      </c>
      <c r="G215" s="11"/>
      <c r="H215" s="18"/>
      <c r="I215" s="10" t="str">
        <f t="shared" si="9"/>
        <v/>
      </c>
      <c r="J215" s="18"/>
      <c r="K215" s="9">
        <f t="shared" si="10"/>
        <v>0</v>
      </c>
      <c r="L215" s="19"/>
      <c r="M215" s="19"/>
      <c r="N215" s="19"/>
      <c r="O215" s="19"/>
      <c r="P215" s="35"/>
      <c r="Q215" s="19"/>
    </row>
    <row r="216" spans="1:17" x14ac:dyDescent="0.25">
      <c r="A216" s="1" t="s">
        <v>17</v>
      </c>
      <c r="B216" s="22">
        <v>80</v>
      </c>
      <c r="C216" s="1" t="s">
        <v>18</v>
      </c>
      <c r="D216" s="9" t="s">
        <v>264</v>
      </c>
      <c r="E216" s="13" t="s">
        <v>303</v>
      </c>
      <c r="F216" s="1" t="s">
        <v>185</v>
      </c>
      <c r="G216" s="11"/>
      <c r="H216" s="18"/>
      <c r="I216" s="10" t="str">
        <f t="shared" si="9"/>
        <v/>
      </c>
      <c r="J216" s="18"/>
      <c r="K216" s="9">
        <f t="shared" si="10"/>
        <v>25</v>
      </c>
      <c r="L216" s="19">
        <v>0</v>
      </c>
      <c r="M216" s="19">
        <v>0</v>
      </c>
      <c r="N216" s="19">
        <v>0</v>
      </c>
      <c r="O216" s="19">
        <v>25</v>
      </c>
      <c r="P216" s="35"/>
      <c r="Q216" s="19"/>
    </row>
    <row r="217" spans="1:17" x14ac:dyDescent="0.25">
      <c r="A217" s="23" t="s">
        <v>29</v>
      </c>
      <c r="B217" s="22">
        <v>80</v>
      </c>
      <c r="C217" s="25" t="s">
        <v>18</v>
      </c>
      <c r="D217" s="27" t="s">
        <v>265</v>
      </c>
      <c r="E217" s="13" t="s">
        <v>303</v>
      </c>
      <c r="F217" s="23" t="s">
        <v>217</v>
      </c>
      <c r="G217" s="25"/>
      <c r="H217" s="26"/>
      <c r="I217" s="31"/>
      <c r="J217" s="26"/>
      <c r="K217" s="27">
        <f t="shared" si="10"/>
        <v>75</v>
      </c>
      <c r="L217" s="28"/>
      <c r="M217" s="28"/>
      <c r="N217" s="28"/>
      <c r="O217" s="28">
        <v>75</v>
      </c>
      <c r="P217" s="37"/>
      <c r="Q217" s="19"/>
    </row>
    <row r="218" spans="1:17" x14ac:dyDescent="0.25">
      <c r="A218" s="1" t="s">
        <v>17</v>
      </c>
      <c r="B218" s="22">
        <v>80</v>
      </c>
      <c r="C218" s="1" t="s">
        <v>18</v>
      </c>
      <c r="D218" s="9" t="s">
        <v>266</v>
      </c>
      <c r="E218" s="13" t="s">
        <v>303</v>
      </c>
      <c r="F218" s="1" t="s">
        <v>185</v>
      </c>
      <c r="G218" s="11"/>
      <c r="H218" s="18"/>
      <c r="I218" s="29"/>
      <c r="J218" s="18"/>
      <c r="K218" s="30">
        <f t="shared" ref="K218:K228" si="11">MAX(L218:Q218)</f>
        <v>0</v>
      </c>
      <c r="L218" s="19"/>
      <c r="M218" s="19"/>
      <c r="N218" s="19"/>
      <c r="O218" s="19"/>
      <c r="P218" s="35"/>
      <c r="Q218" s="19"/>
    </row>
    <row r="219" spans="1:17" x14ac:dyDescent="0.25">
      <c r="A219" s="1" t="s">
        <v>17</v>
      </c>
      <c r="B219" s="1">
        <v>84</v>
      </c>
      <c r="C219" s="1" t="s">
        <v>18</v>
      </c>
      <c r="D219" s="9" t="s">
        <v>267</v>
      </c>
      <c r="E219" s="13" t="s">
        <v>303</v>
      </c>
      <c r="F219" s="1" t="s">
        <v>185</v>
      </c>
      <c r="G219" s="11"/>
      <c r="H219" s="18"/>
      <c r="I219" s="29"/>
      <c r="J219" s="18"/>
      <c r="K219" s="30">
        <f t="shared" si="11"/>
        <v>0</v>
      </c>
      <c r="L219" s="19"/>
      <c r="M219" s="19"/>
      <c r="N219" s="19"/>
      <c r="O219" s="19"/>
      <c r="P219" s="35"/>
      <c r="Q219" s="19"/>
    </row>
    <row r="220" spans="1:17" x14ac:dyDescent="0.25">
      <c r="A220" s="1" t="s">
        <v>17</v>
      </c>
      <c r="B220" s="1">
        <v>84</v>
      </c>
      <c r="C220" s="1" t="s">
        <v>18</v>
      </c>
      <c r="D220" s="9" t="s">
        <v>268</v>
      </c>
      <c r="E220" s="13" t="s">
        <v>303</v>
      </c>
      <c r="F220" s="1" t="s">
        <v>185</v>
      </c>
      <c r="G220" s="11"/>
      <c r="H220" s="18"/>
      <c r="I220" s="29"/>
      <c r="J220" s="18"/>
      <c r="K220" s="30">
        <f t="shared" si="11"/>
        <v>0</v>
      </c>
      <c r="L220" s="19"/>
      <c r="M220" s="19"/>
      <c r="N220" s="19"/>
      <c r="O220" s="19"/>
      <c r="P220" s="35"/>
      <c r="Q220" s="19"/>
    </row>
    <row r="221" spans="1:17" x14ac:dyDescent="0.25">
      <c r="A221" s="1" t="s">
        <v>17</v>
      </c>
      <c r="B221" s="1">
        <v>84</v>
      </c>
      <c r="C221" s="1" t="s">
        <v>18</v>
      </c>
      <c r="D221" s="9" t="s">
        <v>269</v>
      </c>
      <c r="E221" s="13" t="s">
        <v>303</v>
      </c>
      <c r="F221" s="1" t="s">
        <v>185</v>
      </c>
      <c r="G221" s="11"/>
      <c r="H221" s="18"/>
      <c r="I221" s="29"/>
      <c r="J221" s="18"/>
      <c r="K221" s="30">
        <f t="shared" si="11"/>
        <v>0</v>
      </c>
      <c r="L221" s="19"/>
      <c r="M221" s="19"/>
      <c r="N221" s="19"/>
      <c r="O221" s="19"/>
      <c r="P221" s="35"/>
      <c r="Q221" s="19"/>
    </row>
    <row r="222" spans="1:17" x14ac:dyDescent="0.25">
      <c r="A222" s="1" t="s">
        <v>29</v>
      </c>
      <c r="B222" s="1">
        <v>84</v>
      </c>
      <c r="C222" s="1" t="s">
        <v>18</v>
      </c>
      <c r="D222" s="9" t="s">
        <v>270</v>
      </c>
      <c r="E222" s="13" t="s">
        <v>303</v>
      </c>
      <c r="F222" s="1" t="s">
        <v>217</v>
      </c>
      <c r="G222" s="11"/>
      <c r="H222" s="18"/>
      <c r="I222" s="29"/>
      <c r="J222" s="18"/>
      <c r="K222" s="30">
        <f t="shared" si="11"/>
        <v>0</v>
      </c>
      <c r="L222" s="19"/>
      <c r="M222" s="19"/>
      <c r="N222" s="19"/>
      <c r="O222" s="19"/>
      <c r="P222" s="35"/>
      <c r="Q222" s="19"/>
    </row>
    <row r="223" spans="1:17" x14ac:dyDescent="0.25">
      <c r="A223" s="1" t="s">
        <v>17</v>
      </c>
      <c r="B223" s="1">
        <v>84</v>
      </c>
      <c r="C223" s="1" t="s">
        <v>18</v>
      </c>
      <c r="D223" s="9" t="s">
        <v>271</v>
      </c>
      <c r="E223" s="13" t="s">
        <v>303</v>
      </c>
      <c r="F223" s="1" t="s">
        <v>185</v>
      </c>
      <c r="G223" s="11"/>
      <c r="H223" s="18"/>
      <c r="I223" s="29"/>
      <c r="J223" s="18"/>
      <c r="K223" s="30">
        <f t="shared" si="11"/>
        <v>0</v>
      </c>
      <c r="L223" s="19"/>
      <c r="M223" s="19"/>
      <c r="N223" s="19"/>
      <c r="O223" s="19"/>
      <c r="P223" s="35"/>
      <c r="Q223" s="19"/>
    </row>
    <row r="224" spans="1:17" x14ac:dyDescent="0.25">
      <c r="A224" s="1" t="s">
        <v>35</v>
      </c>
      <c r="B224" s="1">
        <v>84</v>
      </c>
      <c r="C224" s="1" t="s">
        <v>3</v>
      </c>
      <c r="D224" s="9" t="s">
        <v>272</v>
      </c>
      <c r="E224" s="13" t="s">
        <v>303</v>
      </c>
      <c r="F224" s="1" t="s">
        <v>185</v>
      </c>
      <c r="G224" s="11"/>
      <c r="H224" s="18"/>
      <c r="I224" s="29"/>
      <c r="J224" s="18"/>
      <c r="K224" s="30">
        <f t="shared" si="11"/>
        <v>0</v>
      </c>
      <c r="L224" s="19"/>
      <c r="M224" s="19"/>
      <c r="N224" s="19"/>
      <c r="O224" s="19"/>
      <c r="P224" s="35"/>
      <c r="Q224" s="19"/>
    </row>
    <row r="225" spans="1:17" x14ac:dyDescent="0.25">
      <c r="A225" s="1" t="s">
        <v>76</v>
      </c>
      <c r="B225" s="1">
        <v>84</v>
      </c>
      <c r="C225" s="1" t="s">
        <v>3</v>
      </c>
      <c r="D225" s="9" t="s">
        <v>273</v>
      </c>
      <c r="E225" s="13" t="s">
        <v>303</v>
      </c>
      <c r="F225" s="1" t="s">
        <v>185</v>
      </c>
      <c r="G225" s="11"/>
      <c r="H225" s="18"/>
      <c r="I225" s="29"/>
      <c r="J225" s="18"/>
      <c r="K225" s="30">
        <f t="shared" si="11"/>
        <v>0</v>
      </c>
      <c r="L225" s="19"/>
      <c r="M225" s="19"/>
      <c r="N225" s="19"/>
      <c r="O225" s="19"/>
      <c r="P225" s="35"/>
      <c r="Q225" s="19"/>
    </row>
    <row r="226" spans="1:17" x14ac:dyDescent="0.25">
      <c r="A226" s="1" t="s">
        <v>29</v>
      </c>
      <c r="B226" s="1">
        <v>84</v>
      </c>
      <c r="C226" s="1" t="s">
        <v>18</v>
      </c>
      <c r="D226" s="9" t="s">
        <v>274</v>
      </c>
      <c r="E226" s="13" t="s">
        <v>303</v>
      </c>
      <c r="F226" s="1" t="s">
        <v>185</v>
      </c>
      <c r="G226" s="11"/>
      <c r="H226" s="18"/>
      <c r="I226" s="29"/>
      <c r="J226" s="18"/>
      <c r="K226" s="30">
        <f t="shared" si="11"/>
        <v>0</v>
      </c>
      <c r="L226" s="19"/>
      <c r="M226" s="19"/>
      <c r="N226" s="19"/>
      <c r="O226" s="19"/>
      <c r="P226" s="35"/>
      <c r="Q226" s="19"/>
    </row>
    <row r="227" spans="1:17" x14ac:dyDescent="0.25">
      <c r="A227" s="1" t="s">
        <v>45</v>
      </c>
      <c r="B227" s="1">
        <v>84</v>
      </c>
      <c r="C227" s="1" t="s">
        <v>3</v>
      </c>
      <c r="D227" s="9" t="s">
        <v>275</v>
      </c>
      <c r="E227" s="13" t="s">
        <v>303</v>
      </c>
      <c r="F227" s="1" t="s">
        <v>185</v>
      </c>
      <c r="G227" s="11"/>
      <c r="H227" s="18"/>
      <c r="I227" s="29"/>
      <c r="J227" s="18"/>
      <c r="K227" s="30">
        <f t="shared" si="11"/>
        <v>100</v>
      </c>
      <c r="L227" s="19"/>
      <c r="M227" s="19"/>
      <c r="N227" s="19"/>
      <c r="O227" s="19">
        <v>100</v>
      </c>
      <c r="P227" s="35">
        <v>100</v>
      </c>
      <c r="Q227" s="19"/>
    </row>
    <row r="228" spans="1:17" x14ac:dyDescent="0.25">
      <c r="A228" s="1" t="s">
        <v>143</v>
      </c>
      <c r="B228" s="1">
        <v>84</v>
      </c>
      <c r="C228" s="1" t="s">
        <v>3</v>
      </c>
      <c r="D228" s="9" t="s">
        <v>276</v>
      </c>
      <c r="E228" s="13" t="s">
        <v>303</v>
      </c>
      <c r="F228" s="1" t="s">
        <v>185</v>
      </c>
      <c r="G228" s="11"/>
      <c r="H228" s="18"/>
      <c r="I228" s="29"/>
      <c r="J228" s="18"/>
      <c r="K228" s="30">
        <f t="shared" si="11"/>
        <v>0</v>
      </c>
      <c r="L228" s="19"/>
      <c r="M228" s="19"/>
      <c r="N228" s="19"/>
      <c r="O228" s="19"/>
      <c r="P228" s="35"/>
      <c r="Q228" s="19"/>
    </row>
  </sheetData>
  <phoneticPr fontId="5" type="noConversion"/>
  <conditionalFormatting sqref="A2:K2 E3:H94 A3:C143 J3:J157 I3:I216 D3:D228 K3:K228 F95:H157 E95:E228 A144:A166 C144:C166 B144:B169">
    <cfRule type="expression" dxfId="0" priority="8">
      <formula>$C2="Epic"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3568-E6C7-4986-8145-03BC3C56BABD}">
  <sheetPr codeName="Sheet17"/>
  <dimension ref="A1:BM4"/>
  <sheetViews>
    <sheetView workbookViewId="0"/>
  </sheetViews>
  <sheetFormatPr defaultColWidth="8.85546875" defaultRowHeight="15" x14ac:dyDescent="0.25"/>
  <cols>
    <col min="1" max="4" width="200.7109375" customWidth="1"/>
  </cols>
  <sheetData>
    <row r="1" spans="1:65" x14ac:dyDescent="0.25">
      <c r="A1" s="3" t="s">
        <v>277</v>
      </c>
      <c r="B1" s="2" t="s">
        <v>277</v>
      </c>
      <c r="C1" s="4" t="s">
        <v>277</v>
      </c>
      <c r="D1" t="s">
        <v>277</v>
      </c>
      <c r="BD1" s="3" t="s">
        <v>278</v>
      </c>
      <c r="BK1" s="3" t="s">
        <v>278</v>
      </c>
      <c r="BM1" s="3" t="s">
        <v>278</v>
      </c>
    </row>
    <row r="2" spans="1:65" x14ac:dyDescent="0.25">
      <c r="A2" t="s">
        <v>279</v>
      </c>
      <c r="B2" t="s">
        <v>280</v>
      </c>
      <c r="C2" t="s">
        <v>281</v>
      </c>
      <c r="D2" t="s">
        <v>282</v>
      </c>
      <c r="BD2" s="3" t="s">
        <v>283</v>
      </c>
      <c r="BK2" s="3" t="s">
        <v>283</v>
      </c>
      <c r="BM2" s="3" t="s">
        <v>283</v>
      </c>
    </row>
    <row r="3" spans="1:65" x14ac:dyDescent="0.25">
      <c r="BD3" s="3" t="s">
        <v>284</v>
      </c>
      <c r="BK3" s="3" t="s">
        <v>284</v>
      </c>
      <c r="BM3" s="3" t="s">
        <v>284</v>
      </c>
    </row>
    <row r="4" spans="1:65" x14ac:dyDescent="0.25">
      <c r="BK4" s="3" t="s">
        <v>285</v>
      </c>
      <c r="BM4" s="3" t="s">
        <v>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E746EB8EB9F94499EAE4EB5E72D695" ma:contentTypeVersion="28" ma:contentTypeDescription="Create a new document." ma:contentTypeScope="" ma:versionID="3ede4168d154158b1419d5ed8e1e3334">
  <xsd:schema xmlns:xsd="http://www.w3.org/2001/XMLSchema" xmlns:xs="http://www.w3.org/2001/XMLSchema" xmlns:p="http://schemas.microsoft.com/office/2006/metadata/properties" xmlns:ns2="9ac9589e-c1af-4a08-9f12-feb9662e781c" xmlns:ns3="60d73747-b234-40e6-8c98-68cff16b0ace" xmlns:ns4="55e382e0-3bb9-496e-a470-66237f96e3a2" targetNamespace="http://schemas.microsoft.com/office/2006/metadata/properties" ma:root="true" ma:fieldsID="974fd017e2dabf4210c733868f077671" ns2:_="" ns3:_="" ns4:_="">
    <xsd:import namespace="9ac9589e-c1af-4a08-9f12-feb9662e781c"/>
    <xsd:import namespace="60d73747-b234-40e6-8c98-68cff16b0ace"/>
    <xsd:import namespace="55e382e0-3bb9-496e-a470-66237f96e3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Statu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9589e-c1af-4a08-9f12-feb9662e7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Status" ma:index="17" nillable="true" ma:displayName="Status" ma:format="Dropdown" ma:internalName="Status">
      <xsd:simpleType>
        <xsd:restriction base="dms:Choice">
          <xsd:enumeration value="Draft"/>
          <xsd:enumeration value="Review"/>
          <xsd:enumeration value="Published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e905562-9620-45f5-92e3-c10dca4027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73747-b234-40e6-8c98-68cff16b0ac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82e0-3bb9-496e-a470-66237f96e3a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896a9507-0e3f-4b41-babd-328b2d0de485}" ma:internalName="TaxCatchAll" ma:showField="CatchAllData" ma:web="60d73747-b234-40e6-8c98-68cff16b0a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9ac9589e-c1af-4a08-9f12-feb9662e781c" xsi:nil="true"/>
    <TaxCatchAll xmlns="55e382e0-3bb9-496e-a470-66237f96e3a2" xsi:nil="true"/>
    <lcf76f155ced4ddcb4097134ff3c332f xmlns="9ac9589e-c1af-4a08-9f12-feb9662e781c">
      <Terms xmlns="http://schemas.microsoft.com/office/infopath/2007/PartnerControls"/>
    </lcf76f155ced4ddcb4097134ff3c332f>
    <MediaLengthInSeconds xmlns="9ac9589e-c1af-4a08-9f12-feb9662e781c" xsi:nil="true"/>
    <SharedWithUsers xmlns="60d73747-b234-40e6-8c98-68cff16b0ace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BDE2755-B328-4F48-A7BA-2DFBC55579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3A2340-9377-4CA4-8E43-CD8E72BCD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c9589e-c1af-4a08-9f12-feb9662e781c"/>
    <ds:schemaRef ds:uri="60d73747-b234-40e6-8c98-68cff16b0ace"/>
    <ds:schemaRef ds:uri="55e382e0-3bb9-496e-a470-66237f96e3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4F86C6-36DD-4190-8A64-7029D30844DA}">
  <ds:schemaRefs>
    <ds:schemaRef ds:uri="http://schemas.microsoft.com/office/2006/metadata/properties"/>
    <ds:schemaRef ds:uri="http://schemas.microsoft.com/office/infopath/2007/PartnerControls"/>
    <ds:schemaRef ds:uri="9ac9589e-c1af-4a08-9f12-feb9662e781c"/>
    <ds:schemaRef ds:uri="55e382e0-3bb9-496e-a470-66237f96e3a2"/>
    <ds:schemaRef ds:uri="60d73747-b234-40e6-8c98-68cff16b0ace"/>
  </ds:schemaRefs>
</ds:datastoreItem>
</file>

<file path=docMetadata/LabelInfo.xml><?xml version="1.0" encoding="utf-8"?>
<clbl:labelList xmlns:clbl="http://schemas.microsoft.com/office/2020/mipLabelMetadata">
  <clbl:label id="{c0c5d583-1daf-41b8-b2f9-3590cb8a3856}" enabled="0" method="" siteId="{c0c5d583-1daf-41b8-b2f9-3590cb8a38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Progress Features Q4</vt:lpstr>
    </vt:vector>
  </TitlesOfParts>
  <Manager/>
  <Company>Colruyt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Van Hemelryk</dc:creator>
  <cp:keywords/>
  <dc:description/>
  <cp:lastModifiedBy>Daniel Maslyn</cp:lastModifiedBy>
  <cp:revision/>
  <dcterms:created xsi:type="dcterms:W3CDTF">2022-05-09T11:48:43Z</dcterms:created>
  <dcterms:modified xsi:type="dcterms:W3CDTF">2025-12-04T12:29:56Z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0x01010037E746EB8EB9F94499EAE4EB5E72D695</vt:lpwstr>
  </property>
  <property fmtid="{D5CDD505-2E9C-101B-9397-08002B2CF9AE}" pid="3" name="MediaServiceImageTags">
    <vt:lpwstr/>
  </property>
  <property fmtid="{D5CDD505-2E9C-101B-9397-08002B2CF9AE}" pid="4" name="VS Team System Data DO NOT EDIT_GUID">
    <vt:lpwstr>57a72353-b1bf-4c21-b370-d8da91d650fb</vt:lpwstr>
  </property>
  <property fmtid="{D5CDD505-2E9C-101B-9397-08002B2CF9AE}" pid="5" name="VS Team System Data DO NOT EDIT0">
    <vt:lpwstr>RVpSRwEAAAC9XVlz20iS/isIP+wbZQIEr95uT0iiNK0Oy9KKavfjBASWJIwhgAuAstW/furCVcyEvKjKfdiJWKX7K3ysKzMrj1//8eMl9V5ZUSZ59tsH/2T64R+fft1u+3/y+D/Kyt8+HIrslzJ+Zi9ROXlJ4iIv88dqEucvv7wm5SFKy+qwS/JfKha9lG9lxV5+yR8fk5iVVV5ET+zDp1+/ehxyX+T/ZnH1JXphH7zqtw/bZoAPn07TaLdLsl8</vt:lpwstr>
  </property>
  <property fmtid="{D5CDD505-2E9C-101B-9397-08002B2CF9AE}" pid="6" name="VS Team System Data DO NOT EDIT1">
    <vt:lpwstr>/fu3/4z+L5OjfvpbVY/nLx48fz9OoLBM+UlTxb/54z8e/Vf/Zx+VuMYuXD+vJahfvJmEQzCfrcLGc7JbTYDkLdrNoF8jBvojB0qSsynYE76P+u/jUch/FbBNV0VazaT9EfelVVlZRFrOrjf7ST2y2WK3C6WoSsodwEsbBcrKOQn+yDsLpYhmt1tPlY8s0qwf5s0hrhOeq2guKO/Z6Ev19KNgJ/7U/7uKSxbn6iYH/vvPDfnrnP5TsHhOW7rbNHM</vt:lpwstr>
  </property>
  <property fmtid="{D5CDD505-2E9C-101B-9397-08002B2CF9AE}" pid="7" name="VS Team System Data DO NOT EDIT2">
    <vt:lpwstr>m/TYLp1J8GgV+zS3YS8ir88KmRtWNLiPu3PWv+UUeYlBe7pIoeUiU9+/Dpkq8V1v/y+oM/J9m30vuv6GX/395pVUXx8wvLqrKLdrXjf0mqNwStYI/dX+C6XqgnX+Ui3cpFenLxmUW7EznaabYzR/r4Rf8OwWo6n8/9BfAz1KLBX2E69DPcFwfkV9g+R/ske/Iuyip5iSo2nv75ge++lxMN2MMzSE5xktNhkuM46m/hO1Z9ozVHELAhOfGnc2gx8</vt:lpwstr>
  </property>
  <property fmtid="{D5CDD505-2E9C-101B-9397-08002B2CF9AE}" pid="8" name="VS Team System Data DO NOT EDIT3">
    <vt:lpwstr>z8PkVuNI3dVsUJ+incbVc/jqW3lXj1p4Bq07uQt1/5sBU+eFA3xW46cvB9VEXlX2WNuP20CqkHq8lqvl+EM5iVFBIvyLD9kO7bzzvOsYj8qa3IarwvXMpzxU9RfTyGGWjTEMBjH8J5fx972kFTME3De1c7J2bq9357cn1+fCHiJLsA1tsF4FaKMVyHBnJ4e+EzwQ2/nSe6CgFPKDb6Ab9DNKwRZyFJEQLpg/3vgnyOgrBdxEITzJXucT9jjas2V</vt:lpwstr>
  </property>
  <property fmtid="{D5CDD505-2E9C-101B-9397-08002B2CF9AE}" pid="9" name="VS Team System Data DO NOT EDIT4">
    <vt:lpwstr>qIU/eYgZ16RWsR9PH9bLYG1OND95wlmI3ChSRHFt/rX949KabQPSX7bBbIktWy4imME7PoNJwVctV04YP0SYFzhbtufX11cn9QA1fgCxnoIXixYRXCynWZS+lYkbha+h2kPtrtLVbBoiV6cUURxH+32qTRXvkkUVV84t2OpF2wHtYRqzOcdnc07CNa64yt2u4KXjaZXwNfoSmt0lcu5KEcmu3ecF19Ysrxk9rTUacKsoDWGNKw9rCvUozeNvzJ3</vt:lpwstr>
  </property>
  <property fmtid="{D5CDD505-2E9C-101B-9397-08002B2CF9AE}" pid="10" name="VS Team System Data DO NOT EDIT5">
    <vt:lpwstr>GIGexC2qqCji/FQU/fZWLrcmN+erg7hjqKAocfduC99ar76/BW0aLCNTBs0OZZKwsva9RemCekxu0xpSQx9fpJACdCgTkTgvGjZSNtfklcGBddoYv0NnwAh2p4tyxlyjJhG/gr7z45mx5buNntjukHPekGaEZoLNEfX8xm8NHqhIRbMrtYS9OQcFZuPZmHt89hb1p1sJK1BbUoIuYoEpEsGgNuoF3sU9i7zZPrNxgIOlAQHeQu2fRYrVaQw6TWk</vt:lpwstr>
  </property>
  <property fmtid="{D5CDD505-2E9C-101B-9397-08002B2CF9AE}" pid="11" name="VS Team System Data DO NOT EDIT6">
    <vt:lpwstr>Qw0eKTrBk2IMZOXeI7dUlxlVyV5cFCATAvyvzlJc9OWlCD3QJnt6Bgd8deE/adGydnb0Mc+wA/RbFG1sAGzznOc07B8zzNS7ETxcdxag7nc8cU0xM9RHcEg3SIkw5pJrfM01eayVXIR5MrFZwQ133CQd1npK0pVBNvw6ooSe1PVgHWxWrVHYjVZJDPSKezVHec+JsFEuBqVksO9Opo0RCr2UhWcZW8SvfdxuolBF6RDfoGehYRWjekrdYiguv/P</vt:lpwstr>
  </property>
  <property fmtid="{D5CDD505-2E9C-101B-9397-08002B2CF9AE}" pid="12" name="VS Team System Data DO NOT EDIT7">
    <vt:lpwstr>nlh3nmRVNycTzk5Nyq5QO2AAkp5CGrl4SDFsY984o729BOt9VrtPPcalObgzpuPN6MGKF384GZ6FqWeeFLk18XB5rLQzGpMAdkimto4+H6gRQSXg3g3lYqpIzVc4Ak4XP/GCYYUBA3923fjyekr3j7k0AnW69USVLm1iOSqlz5goXl44tB34LFqABs8U1dFHelcRHKBxGxPcH80Glw9AHSFiGXq4yvYJ17BIhbH8x2uXgHoH9+TXP2GQkVqEQHJ</vt:lpwstr>
  </property>
  <property fmtid="{D5CDD505-2E9C-101B-9397-08002B2CF9AE}" pid="13" name="VS Team System Data DO NOT EDIT8">
    <vt:lpwstr>2+c8Y941n4XUmp7EaqEaZtBCJbk9/uIrp3iJbBw6+s7oI3Wud/B2J9ht589R9mS92TQbDXa8sSCLiMT+02wsLKE+FdisXeBP4ovBSRqpZAqbk7NSbmhPHGVUli3bqUGaMXpvxNO5DzLXIgLml3ls49XXB0aL0tJZrNarFfzMr0UE6/PP0l41qTHM13vQ66BFNF6HQ2qvT3ZgeoRmsxUWIyVEBISu+SnMKu+OpSxyME0KrovW8lvOZ8sV/BioRYP</vt:lpwstr>
  </property>
  <property fmtid="{D5CDD505-2E9C-101B-9397-08002B2CF9AE}" pid="14" name="VS Team System Data DO NOT EDIT9">
    <vt:lpwstr>8Rr5F1NGEXpmn3p6r7xkrrGnWoByzC9mLC1ssYT+gFhHM5RdWfc+Lb56TeBoN1mAZGy/AN15Awe3PbMeK9E2oizcPwoxOXh0cKg1oH7M3j7P1GtEapYjikDlkXl54Z4cktXjFro+aQ5YXLZTpOMLiSoSI4Ga7S8pv/LDZHWL5fn0jNfZDJlxIF5mAkEaeE2+SGKoZqTNQOw4QRKVi3ZDrXooo9Lc7+ZBvv57P71ocM3Aa5zSl4KRD+7zKxVmkwa</vt:lpwstr>
  </property>
  <property fmtid="{D5CDD505-2E9C-101B-9397-08002B2CF9AE}" pid="15" name="VS Team System Data DO NOT EDIT10">
    <vt:lpwstr>rjs0hGBcH6jBYNcRvpkv+Df1WTyeFOJxVhJsfQZqgbznVKEiqU55V3Hh1sdAMwro/jtrAdBXW+mC4CWEFVIooNyDfNU14kpeWM1tvwGM4M00RNKS6isHejNHXuWxLTqIABn5IK18MXK0kQhhnJ5zgWtR/JZ0ai8rM0mK2xCGohImDcaLcX2633nT28sOo539nbjjUuhzVQzfMIX8kk98rv+XfvUuQruJ1aDtuimkEZaDwqF1EcuZHwYTr0dahX7</vt:lpwstr>
  </property>
  <property fmtid="{D5CDD505-2E9C-101B-9397-08002B2CF9AE}" pid="16" name="VS Team System Data DO NOT EDIT11">
    <vt:lpwstr>RbV9Ovgb6WLwbfSsbFDQkdx7c+RHCUy4MRRJw6+UuckGR3GYTSjPIxmEOMQZxxSML7Zi/uuy9nCqQ9xrgeo8U0fv4ophl+nlIjgbt0cmNuLtRPmyLGRu9Vf4TRXFI9wRoKSTsV1RvooR6k7gGmfIfa4FBH6kETSpqubtcEybRn0MA6Gs3hH2jJXL/sorjxui4sf3e12Vdg3WYNsXjxg1IoWUSzhsszjRK5h69TJgQcFKI0SUgsH9cHBw2jgkY7v</vt:lpwstr>
  </property>
  <property fmtid="{D5CDD505-2E9C-101B-9397-08002B2CF9AE}" pid="17" name="VS Team System Data DO NOT EDIT12">
    <vt:lpwstr>oWduevzt6nGrxTs+iMAbdfguXY+bud8TUZ5h8Hnrp9h0cUwtDz9PSYIauhlWdg5bYyleMrZ7iOJv3XQrwIurthlOekFBuvekR7L5Oq95EOE5Tng+THhskYSKT4V3F2Xu0iBaZTf+1gCb8Y84z5BCCdI6vXw+JgmBVKq9xAeDIOfhCl7MWkSoFghbJi0Ob/bPgjVgF888pvC4pCVF+HH3mPocHbL42RM1ZArlVne3h6FTS413NJzxOI+lxkoRxbR</vt:lpwstr>
  </property>
  <property fmtid="{D5CDD505-2E9C-101B-9397-08002B2CF9AE}" pid="18" name="VS Team System Data DO NOT EDIT13">
    <vt:lpwstr>/ZSlXIyqL20hPdw/ItGJw3Wg4onc+jtT/HFjxxnVAhzqRUOkl7D1SVWKFc1wNchx/SBUVma0m0Y/PJlCvGNYoxgZo3bFUKrcOo3s15GBw7xR+ClYiAiWiCe613oB1WC9wrMxgF70WERy0t4cHfu7Z5/DU0YISDs/XCQLc0AwoKin9WbLCU0GoogAZgbkpRmgHQIzOAF6tWkQwr+d5UajQAu9UPXrfppHjV8N2DDVEM4Kp/eKe3jnFnKt0bbuQbV</vt:lpwstr>
  </property>
  <property fmtid="{D5CDD505-2E9C-101B-9397-08002B2CF9AE}" pid="19" name="VS Team System Data DO NOT EDIT14">
    <vt:lpwstr>gdlMhY7PYSv1eWFNkw/fR011R7ierQisbTDQOSMCPTsb1yu5j7ju0VxBjPNQxIov6OHdsLt5xNx/YCYj1DlzUXEZxc10l2qGzKvkBMu6DmrKJFxgKSHJrj2kVzt1zN2kVz8EwGndlaRKAEaxcMhY2uoEHzfBnOZnCCiRIRTO/111tZlcBaleJADY5ZWQN/Gh6uaDjenZRzM822zsKQEcPxwWIL88UMi2jVIioFYlNwxcY+ZncXzRdsGe8m8SMLJ</vt:lpwstr>
  </property>
  <property fmtid="{D5CDD505-2E9C-101B-9397-08002B2CF9AE}" pid="20" name="VS Team System Data DO NOT EDIT15">
    <vt:lpwstr>2EUR5P1Yzib7CI2e/DX/nq1NudY5e/BubVKRMD5qLQGQWpfAKT2KY8Jkt0uRRQL+gsT4WX7yIlDhYP1sMwUN3wm/eGZHLtb1Y+uE9woaqTITDe0QIq6RfAziqScmoyj8a7cmTgyePlEwl7B0XR4wbh3TmFXioPj2A5TcTCjO+SShas6aRGBldPmVLtcx7ULBl3DEEmKU9cuAFu7y7ZA+LVyqeAWC0m6xPYgExq866gSdf4ufuwZP4ccL1M9iBpD</vt:lpwstr>
  </property>
  <property fmtid="{D5CDD505-2E9C-101B-9397-08002B2CF9AE}" pid="21" name="VS Team System Data DO NOT EDIT16">
    <vt:lpwstr>DXG0UqerMETOXSUiIC8DVM7f4tT+2hRQLVKbqQp6ByfDjsHxbt2XvGJuvboCEXHqTmZQsAL/KwU37aB0xEujQZ5q8G1w/BP3UJq0SMG64p9j+axf50pzOIF2/IQ/mYGND2aDVuPYiVLNB/idd5mkzNF01ZgCEpgzcB0OL8OxYQkFkw8nDhKoFRKYQB1McQfHdNACHunA2b697K16FoCHfge0sxTBtgUzkmeu26iweiHRU9WBMZLisDLoUkQwT8J</vt:lpwstr>
  </property>
  <property fmtid="{D5CDD505-2E9C-101B-9397-08002B2CF9AE}" pid="22" name="VS Team System Data DO NOT EDIT17">
    <vt:lpwstr>Tkewc1DXhQA2OWfkCu4OFiGBL3Wy9r6o9jzWrm20XqcdrgQZ9SBHFUaFye+xt1R6QuQCRt0cpGiQ1UrffnG+5qpjtXCQhcqwuVOeMAI8IihPCQTVds5IumAP8Tvbv2M8/y6NChKimh5fM2+SZvRIhERVgg2fWNcTX3DvJAiOdI/JB2NXTWVslonjvvQzJedYiEjdQ8jdNxEmNayahIVMpRRQE4Sw069mEktCO+IoaLMh9LUUEnhCuq9rlPtRXQA</vt:lpwstr>
  </property>
  <property fmtid="{D5CDD505-2E9C-101B-9397-08002B2CF9AE}" pid="23" name="VS Team System Data DO NOT EDIT18">
    <vt:lpwstr>enXyZjDauKWkQ6haJMxvk/nc0dh9NoZuUWLGxPiAiUrNMifk4qFlf8N089UT/cppBV3dGiC9rB7NWo9qdw3IUWESzQy43Hv9djj4+5g+KHlxv+9w6W6X0Fd58WEWhg14ypxxGXQfPqbVohY8HycJcOLaLYk2aVVXds1XutUW/1+CqZzzHXnRQRTC43n0tnvfaOwExFAI+lHm5jMZLcJinjZM+vbucv7wayGWeL81xR8DRSBZ1u1KM8QWS3BngF6</vt:lpwstr>
  </property>
  <property fmtid="{D5CDD505-2E9C-101B-9397-08002B2CF9AE}" pid="24" name="VS Team System Data DO NOT EDIT19">
    <vt:lpwstr>OCdvl4jDd6jGCHH3nYzRghwtftIrx0tIrhVN2wvPiaLE1Z6G1bGRbJ3UkOjC2zi9jUJpPyLFhHcrvINTGy8pHISqivwDDjDeQP3N9Miglm9LfK9jBLi2ttBxqzmhce/L3lyUyClxq/h88IAN1UMNJspGHYxjnbyyHIpw+7gscVSjtsK+FN/ATfu0yICimc3f1pPY41hpjDjs+UPzpZ1CrN0KciHyISfHI61wzqbWQxijGH6+fEfYLiP79j3zqi0</vt:lpwstr>
  </property>
  <property fmtid="{D5CDD505-2E9C-101B-9397-08002B2CF9AE}" pid="25" name="VS Team System Data DO NOT EDIT20">
    <vt:lpwstr>LfoHERawaOIo7kNZ0PTo0+WxXXb7OKqNDT/b4DmjwTs5o2O59uOrQ7fT2o+vDg3Gi+liHsIlNLSIgPHts4vaoy2KqeeD/jAtonA1tFkuwrziJ4Xz/Id2iN4IPettsVohIbdSRGHgsDR68+6k2eVtuSmdyrAFB28KAljhKtjPx6YOV/g4M6Q0iBRRaAp59pjs7C6bxhvYgzLNGbyx7zuBma7MGcfHkGnOmAeRClDEM3lIXi11cLzzllIKF75e4Lh</vt:lpwstr>
  </property>
  <property fmtid="{D5CDD505-2E9C-101B-9397-08002B2CF9AE}" pid="26" name="VS Team System Data DO NOT EDIT21">
    <vt:lpwstr>4LaJQ7g+FUL7dzmYX1Ax9w/kFFPyuG1OCINOuBUdy7AK4j4YWEdA9zi/U+oNsY3ZwX6LUTDZUwxmjmS9SmBtRiAb3sYsXqX3+nRUx5+2w8jfHNWHbl24frIoo/kzgjrji46vl7uLZuwYDO8lyFRBd3AuSZ6mzKP6W5k/ebZHkBYELXOP34E31H+dM0rvq+OZ13JDcvHnNluTL+Ww1h92nWkTA+vKQxeqzOLdNVNkHQ8GIpmmAZ9+RlHZXtfMOXG</vt:lpwstr>
  </property>
  <property fmtid="{D5CDD505-2E9C-101B-9397-08002B2CF9AE}" pid="27" name="VS Team System Data DO NOT EDIT22">
    <vt:lpwstr>V37xaXVfMENGa0r3Cyq0GyYzWNqOD/Hz9R3HYoN2BNdQM19riIxAIQntvKdb/5PqzJEZ1ILiLRMTLxMMptkzeS6gUNOqpU4daPT1H1qHUpbtgrS/O92766XXeiOYCRcQnfuFpEsJxVyQaVcmnfkq2TvwnWagWbX9YiAnZXXFl70tqSZXsNMEmtgw+13FCxAvgpvKRI+L6PiidGV/ZIwWNVahc42QXF/Xpc4tOxY/yozidw2apAXbwlL0nkxBnL2</vt:lpwstr>
  </property>
  <property fmtid="{D5CDD505-2E9C-101B-9397-08002B2CF9AE}" pid="28" name="VS Team System Data DO NOT EDIT23">
    <vt:lpwstr>GPiICOvB2SWFcSnMySpvMuvwX3KxHSKPBiK9duM0AzQ2nFgUsP48omDOV6viX1Zhia9S4Id78kJuCgnFutxgNIXvlUsc9c1H4HUAJlVJdDH/xlNqlCeCc+7d/PobVnxmsRMhD0kTw66hijkm0eN24E1QyexJH0hGuQ80sXQj528yrxtnDto69ODvcpaUFPdxfO7A4rHRjh51nEzESB59qijiMzlhmM/lIiAfJvmbbd3jfzu4/0LPk4NP0uNrG15</vt:lpwstr>
  </property>
  <property fmtid="{D5CDD505-2E9C-101B-9397-08002B2CF9AE}" pid="29" name="VS Team System Data DO NOT EDIT24">
    <vt:lpwstr>Hz1ZXIt1B/caxHTf45ndw2n4zooPOH6YMYsPGA8zEzDpdLwu93O1zE8HJ/BnMjNbsFNzHkFNjUJHUy+YDu73BqZNloVIDJcFG1tASifLuumdrMAA8wF045D0aSnFPSuCVXPrNaahNJIZFoR7baYk7rc6iu8y+eH2iKiRa+BO+IhsIgxuKC2iMH1O7/jkuSj1xZFaoLbPAcRn+P15dDitgwhavRiHomZF4CiiRErRELWxz1TS32U9Qx0YM8MZsQS</vt:lpwstr>
  </property>
  <property fmtid="{D5CDD505-2E9C-101B-9397-08002B2CF9AE}" pid="30" name="VS Team System Data DO NOT EDIT25">
    <vt:lpwstr>kiOLc2O+dpThzLCTHWZYZg3OclYhgqowKZDOKwlW6ENkMrfujJg68BbSIYE6dqLyAqaocXuhDoj/syh1rtR37whw3XTN9YUDrNWGVLnAjffGOkT52BQtT0uPKBdvbL1iB1UL1Vuh0hVW1lCKCFaq9uW56QyswtDk0cu4o0SC3kd6+n+oObc36/cbQxo+xXK5n/gp+EFciiuvl9srb7lnsoNFwfcncXh0DtgUOICXnneCckXadqm/wOXJV2KBBMp</vt:lpwstr>
  </property>
  <property fmtid="{D5CDD505-2E9C-101B-9397-08002B2CF9AE}" pid="31" name="VS Team System Data DO NOT EDIT26">
    <vt:lpwstr>OoQYVbiyjWbxN1tGOv+b50lYBbwypUMBOXK9fL+QJU6bSIYIl2X9NeozTZuVmnHVgD1UyrRs4nKaLQi56jvVCKHE2rhsMzq+E22FpE51qSBdncp5N00NGsEpQwF9GY/qaGdPM9s4kSfFdFavE7h9Ui9IM1fL8oEelhJUIkyzx1dkxxvBrOrC6MZKdKEcGG5VfojfSyi+hYrscV9sr97VWD2AKaQWV4m413pnKkTlgkLlux1tUBWlQzjgznR6MK9</vt:lpwstr>
  </property>
  <property fmtid="{D5CDD505-2E9C-101B-9397-08002B2CF9AE}" pid="32" name="VS Team System Data DO NOT EDIT27">
    <vt:lpwstr>fPJr9xFbRxlkx+Fvao0YsQMlSICwpcsqg6FbYhgHQepwKAzdxaEPtI9RIkIuG2fRUVsl6niEnHQ2zXHHQlzGkeCtGScTJ9AAmNMwiXSA1qLKA4aF4QgMsKVhaRuKRHFQux7uXxPNnBz7N/yW1DTSQ6uSC0ioKsC++R7i4tNJ+F6aEbu4RK566VoiN9o13mbe2jNrpNveHya8DMfq7IhRARzd/ESJQ70swbFfJjCS6VMKe5zbQmUnlKNScyMsoNt</vt:lpwstr>
  </property>
  <property fmtid="{D5CDD505-2E9C-101B-9397-08002B2CF9AE}" pid="33" name="VS Team System Data DO NOT EDIT28">
    <vt:lpwstr>lotDqnFJEYEWesfKPXPw9NHFMSjBzfy0iICSiFeJhULmpmxjDYe3OMNXKEnjOjMF33FjqH4KvtkWStlD+Iy+k38z0hz8J//K0l0rFgmHNGNRlhBu668Hbf2xQUBt5s3pgf9XTm2IJvWmhTZtJpzuapDuyCiNyyRLymeyqG8FD4RtLHw/nC7BxatFg4t3dEVOZ9WY0EpM6j7Ee/BNKUIb6mY63kX2mhR55j4PRffVMfHNwG88EZ+kCZZILX4lyPf</vt:lpwstr>
  </property>
  <property fmtid="{D5CDD505-2E9C-101B-9397-08002B2CF9AE}" pid="34" name="VS Team System Data DO NOT EDIT29">
    <vt:lpwstr>s4ZqRfHh8znBPhdFZVbJbheMGiz3U7oPIYrqAu9BoEcksNoVQCktVr37DahALSL9TGWH4PPqECTYyA/6VOe6sqAoxiQE0PtReUXYww83nYdZjVcA2JuRfd0ybvPaaYBMOYoCa5xFef2q4evDIOdY/Pk3fzBocSaIK8CSqYDiJauTBRFE5osMUqhKhVHmcJ4kH6DjT3nErYzPTHm5mjLN+J6fKyvrekTUzNgPIzWbGKjkHK9QkRASsZVemr6IDgr</vt:lpwstr>
  </property>
  <property fmtid="{D5CDD505-2E9C-101B-9397-08002B2CF9AE}" pid="35" name="VS Team System Data DO NOT EDIT30">
    <vt:lpwstr>25KrA6UKamj4d5DWc3jO3yU7G92wT7FrE7aevFEm4lqUUU+sN+b1XUpI2u1ChttAs0SevxAVs/2c1jPJXjRh6g6gM6lbWIYO21efKdXC7H2k+dKH80gmma4TUChgOabb2YwvgnOUHLBtkMDMErUg73tLOb5tOyZGUpw0N+v7/+TDHN7RC/Vy+Qs9rHC+H5JIXwpMVo2x1uwBhF28X5S/wiWVKEloqXRucKX41p2tq4Q3dG+OTQUXosilv8jNIDl</vt:lpwstr>
  </property>
  <property fmtid="{D5CDD505-2E9C-101B-9397-08002B2CF9AE}" pid="36" name="VS Team System Data DO NOT EDIT31">
    <vt:lpwstr>bsI4EwzLSKw0W6L/CF6SNz2jtAJQD1gc4/iKzckKRN2UyRPidDk6xgkZ3Q7Ps96kN4YvZfB1QIuVKNFFMyvox/edl9wi9n7nEf2IeEcT8E1aJ25DefLBfzUpEUEO/fiR3XHHh1ogT2gjsN6vuBGB6jYahHJcfTEr3cnqUMGlGlmIVVIpIiA2Ob0/vRfA5UMbJi+h93pNAiWuRgmPLZZ3+8cpEjd9WaWeEhr5mA+D8Ip3IdIiwjmtFsSynoSOxWh</vt:lpwstr>
  </property>
  <property fmtid="{D5CDD505-2E9C-101B-9397-08002B2CF9AE}" pid="37" name="VS Team System Data DO NOT EDIT32">
    <vt:lpwstr>QAMGL/XgU3S6aA2YexY/Z6ITknd7eEh1ioRj33xtyjRjHQ1lxkTB21eJCKbaiIkKSGKiAigmSk0xXkvBp4gZ6pQKvueX+5PLSoVGueAevpnHgIQTSRGBWigCvjfs1Vl6ynYrithBaQzL+TxcTJFXJymi0ImayHZ+L9qz02A1lhEajLXmkSKCHdpEn1sT6yOZSxLRY6WIYEleblyuyMsNtiDV0QkHAysRwZy1JXVuuYXIYr6UcvubtK6sY2KayeM</vt:lpwstr>
  </property>
  <property fmtid="{D5CDD505-2E9C-101B-9397-08002B2CF9AE}" pid="38" name="VS Team System Data DO NOT EDIT33">
    <vt:lpwstr>42Xf6+jq5QmZuyggZWeMNphkHh1XGEiKCZbthqdBknAXCNXho82K4yoEWkbgQaApvIxW35ys/XMLuTS0ivDBcmGMGVO8BxV/CLj0tomB2lXENpPWLuEnPlJAoUfXShb/Pryj0+M+50NxFlW9vmx8Kh72/xIOYRBfgHezeMTubLrEybUJEcMyepXn8jZ87jgLeNRwY8q70b9x1SVLT56LkP7nzSJoequm0RN/O/OGLcnSUxb7IPfevtxIXesJV/b</vt:lpwstr>
  </property>
  <property fmtid="{D5CDD505-2E9C-101B-9397-08002B2CF9AE}" pid="39" name="VS Team System Data DO NOT EDIT34">
    <vt:lpwstr>vg0EwlIpjH2yL/t4vg9y6OqeHgkU/DARRuyuP4hOVxfLQ8zixYr1dwnK0WEUxmE+mWMhcN2+q4thbNzIkG1TktIrUchYmsyi04MyA5ZAfRrBaNhMNIEcHhc3Yok4zbDG1+tIPC0RrTgDRLOmEFc4SIYM1e5w9JyrybrTU/haSBzLda/PJYDltZY1eqpaWMP3NdAHYztDpJ2qMkVWpxrtSlWhuUzuUnagXDbai0iIBOx9ntpKUNhGdGE+KhIe/Ub</vt:lpwstr>
  </property>
  <property fmtid="{D5CDD505-2E9C-101B-9397-08002B2CF9AE}" pid="40" name="VS Team System Data DO NOT EDIT35">
    <vt:lpwstr>BrpjzqKoXRcJ9mMoQSKJE+Xa0z7FiKS7efwysfveKl74gZ/OGjwjw0nlHvIu8oeB8uh/t+DCiVuA2tmQ8MdZ5WIYNl2g8m8WLYA+OEi7a2La8CasSB4uNqwq8ppUXPHUTBAUXMzEGYxn3OLEZ5uJSIgv2GVyldNMm/vpNlwjZhke6TtcIDv3GB45zqLcXIczm7GOJnh7CqFGqlJIUUE1tjNnmWZi4eeHpDpV8ZJkQRcqs6a9qdRjKZa4KcPSeMl</vt:lpwstr>
  </property>
  <property fmtid="{D5CDD505-2E9C-101B-9397-08002B2CF9AE}" pid="41" name="VS Team System Data DO NOT EDIT36">
    <vt:lpwstr>M6HaccpBP6H6OOFg5SNtHLWIYF3+kT942+Rv5v21/ePSeiY5mgBrsFrNfArx4n8dTWkg1kWEpVhWtdEqukAq5f8el4OBdLlBJW4snTv2ak2kxjCfaXB7kOSJccu4TUDwTNPD7VV4maMnvRQNchyb5X1zd9EpNOlljO1s+i7WGd8ctkXtgBp8pzjfKYXSopzxXv7o7VicOAoWFJD5Yw+wZ0v5Kzi8TItIdDN+8e6EN/XGReEeDXYDFO4JgxUWnit</vt:lpwstr>
  </property>
  <property fmtid="{D5CDD505-2E9C-101B-9397-08002B2CF9AE}" pid="42" name="VS Team System Data DO NOT EDIT37">
    <vt:lpwstr>EFNdeyrVD74xVkVc4cppKSIFYgH5TdcTg8dckPrYmO9b2NWo4PxZ/nYLj5LTo/0GdcWxG9dUZMJUAL8gQkBRkODYuHHelNo0Lsyu18qXilSeHHzxGFo053e/r+EwVCin9IoXtS7rB/5JfOQ9R/O2kM5wczRzMXAN4sCxJ1Pqxr89xXSTT19dWRmr+b7v99B8=</vt:lpwstr>
  </property>
  <property fmtid="{D5CDD505-2E9C-101B-9397-08002B2CF9AE}" pid="43" name="VS Team System Data DO NOT EDIT">
    <vt:i4>38</vt:i4>
  </property>
  <property fmtid="{D5CDD505-2E9C-101B-9397-08002B2CF9AE}" pid="44" name="VS Team System Additional Data DO NOT EDIT0">
    <vt:lpwstr>RVpSRwEAAABVj8GKwjAQhl+l5N6matFaaqUgC8LiJa732WSqgSYpmbS4+/QbdcuyhznM8PH/89X7u+mTCT1pZ3dskeVs39RC/D8lEbK0Y6O3FckbGqDUaOkduS6k0plq0jRCT2FU2lUBwdAXBTSV6zotkYLzcEXW1KckRp7AIA0gsVVKh9gC/QECiF9qbov45YGfO2qHodcSHuzRUgAr8XhgSdgxwZpNt82hXG/SYrGFtMi3y/SzKDBdbgqZl2W</vt:lpwstr>
  </property>
  <property fmtid="{D5CDD505-2E9C-101B-9397-08002B2CF9AE}" pid="45" name="VS Team System Additional Data DO NOT EDIT1">
    <vt:lpwstr>xLnFV88tf2hzx4fs54xbCQBXnCqcMvkePWbTiShJK91Lh52j15karnm/wVhltNQX/WqdVlvN39/pRoJ+idgZk7s9mfoojRPMD</vt:lpwstr>
  </property>
  <property fmtid="{D5CDD505-2E9C-101B-9397-08002B2CF9AE}" pid="46" name="VS Team System Additional Data DO NOT EDIT">
    <vt:i4>2</vt:i4>
  </property>
  <property fmtid="{D5CDD505-2E9C-101B-9397-08002B2CF9AE}" pid="47" name="ComplianceAssetId">
    <vt:lpwstr/>
  </property>
  <property fmtid="{D5CDD505-2E9C-101B-9397-08002B2CF9AE}" pid="48" name="TemplateUrl">
    <vt:lpwstr/>
  </property>
  <property fmtid="{D5CDD505-2E9C-101B-9397-08002B2CF9AE}" pid="49" name="VS Team System Data DO NOT EDIT83">
    <vt:lpwstr>PZI9YSosV77k6Dt0CD6UY/rrT/AFn5c9BSlJsn1hzOCZpqeOztmkM6E0+3jfNl7Av8Z1TMjOArsj6+3Q0PolSUw16iod/PRpifnjUiS4sbqv2kEjTv9ZxBb/5C1f2/x9/W8fWs5eAMK3Jw7yMOJJl7o2Tg5xwvWTDZ3jVgwSI3YpSna8zNdpilqPtOVxmHmKNRthwZY9exl9djAGKytF3+JnaJ5uO627oNkQ12CwZ5fIzPB4PE1ssP/PTz89P8B</vt:lpwstr>
  </property>
  <property fmtid="{D5CDD505-2E9C-101B-9397-08002B2CF9AE}" pid="50" name="_ExtendedDescription">
    <vt:lpwstr/>
  </property>
  <property fmtid="{D5CDD505-2E9C-101B-9397-08002B2CF9AE}" pid="51" name="xd_Signature">
    <vt:bool>false</vt:bool>
  </property>
  <property fmtid="{D5CDD505-2E9C-101B-9397-08002B2CF9AE}" pid="52" name="TriggerFlowInfo">
    <vt:lpwstr/>
  </property>
  <property fmtid="{D5CDD505-2E9C-101B-9397-08002B2CF9AE}" pid="53" name="VS Team System Data DO NOT EDIT81">
    <vt:lpwstr>eOCrYNNSDYfv2qVqtunCKnREyi0/ci+rlvcL6JZS7l3RCxsxQczNkL02yzUfbOs7UOn+0zczTqlPQ3CvuJaviMiev44fqzJw846k637PhUfy0D3jAaM6dxbENPCClrf7X1WzBXvjbDPWhLStArx48Z2d0zypLY6cQ1dDVNd5acvL2fXnSC2WwqqrHe96c2JefgOyR6glRY732J0GboV70ox7XW3+CLTxfdBSlJsn1pzOCZpqeOzuml86E5XY+W3</vt:lpwstr>
  </property>
  <property fmtid="{D5CDD505-2E9C-101B-9397-08002B2CF9AE}" pid="54" name="VS Team System Data DO NOT EDIT82">
    <vt:lpwstr>aewH9G9cwIjgL74+vNUB96ZQnMNRhXu9lg05HzRiRJcWP139SCxp3+04utf8jav7f4+3revrUcvAYFbs7t5eFEEy90bJyc4wVrJpu7RizopUbs0hTt+Jku0xQ1n+lK4zBzFOo2Qz2sevq8mtcwBmvrxF9ip2gerrutey/ZUJdgsOPXyEwweHyN7PB/Dw+//H8=</vt:lpwstr>
  </property>
  <property fmtid="{D5CDD505-2E9C-101B-9397-08002B2CF9AE}" pid="55" name="xd_ProgID">
    <vt:lpwstr/>
  </property>
  <property fmtid="{D5CDD505-2E9C-101B-9397-08002B2CF9AE}" pid="56" name="MSIP_Label_47c19387-3134-4ca8-87e2-20d2b663daf3_Enabled">
    <vt:lpwstr>true</vt:lpwstr>
  </property>
  <property fmtid="{D5CDD505-2E9C-101B-9397-08002B2CF9AE}" pid="57" name="MSIP_Label_47c19387-3134-4ca8-87e2-20d2b663daf3_SetDate">
    <vt:lpwstr>2023-09-21T12:37:07Z</vt:lpwstr>
  </property>
  <property fmtid="{D5CDD505-2E9C-101B-9397-08002B2CF9AE}" pid="58" name="MSIP_Label_47c19387-3134-4ca8-87e2-20d2b663daf3_Method">
    <vt:lpwstr>Privileged</vt:lpwstr>
  </property>
  <property fmtid="{D5CDD505-2E9C-101B-9397-08002B2CF9AE}" pid="59" name="MSIP_Label_47c19387-3134-4ca8-87e2-20d2b663daf3_Name">
    <vt:lpwstr>Restricted distribution</vt:lpwstr>
  </property>
  <property fmtid="{D5CDD505-2E9C-101B-9397-08002B2CF9AE}" pid="60" name="MSIP_Label_47c19387-3134-4ca8-87e2-20d2b663daf3_SiteId">
    <vt:lpwstr>7919ea65-4c52-4980-bfcd-ce7ffd32f1ea</vt:lpwstr>
  </property>
  <property fmtid="{D5CDD505-2E9C-101B-9397-08002B2CF9AE}" pid="61" name="MSIP_Label_47c19387-3134-4ca8-87e2-20d2b663daf3_ActionId">
    <vt:lpwstr>d2067351-750c-4be9-89d8-11a99c4e9ece</vt:lpwstr>
  </property>
  <property fmtid="{D5CDD505-2E9C-101B-9397-08002B2CF9AE}" pid="62" name="MSIP_Label_47c19387-3134-4ca8-87e2-20d2b663daf3_ContentBits">
    <vt:lpwstr>0</vt:lpwstr>
  </property>
</Properties>
</file>